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UTA 1" sheetId="1" r:id="rId4"/>
    <sheet state="visible" name="PAUTA 2" sheetId="2" r:id="rId5"/>
    <sheet state="visible" name="PAUTA 3" sheetId="3" r:id="rId6"/>
    <sheet state="visible" name="PAUTA 4" sheetId="4" r:id="rId7"/>
    <sheet state="visible" name="PAUTA 5" sheetId="5" r:id="rId8"/>
    <sheet state="visible" name="PAUTA 6" sheetId="6" r:id="rId9"/>
    <sheet state="visible" name="PUNTAJES FINALES" sheetId="7" r:id="rId10"/>
  </sheets>
  <definedNames/>
  <calcPr/>
  <extLst>
    <ext uri="GoogleSheetsCustomDataVersion2">
      <go:sheetsCustomData xmlns:go="http://customooxmlschemas.google.com/" r:id="rId11" roundtripDataChecksum="wjD/pmDMHlzkCTpg9SIEen4UaTREWzjT48hv8ixnq/8="/>
    </ext>
  </extLst>
</workbook>
</file>

<file path=xl/sharedStrings.xml><?xml version="1.0" encoding="utf-8"?>
<sst xmlns="http://schemas.openxmlformats.org/spreadsheetml/2006/main" count="809" uniqueCount="107">
  <si>
    <t xml:space="preserve">Pauta de Evaluación de Proyectos  </t>
  </si>
  <si>
    <t>RESUMEN DE LOGRO EVALUACION POR DIMENSIÓN</t>
  </si>
  <si>
    <t>La escala para la asignación de puntajes en cada descriptor de los criterios a evaluar irá de 1 a 5 con las siguientes consideraciones:</t>
  </si>
  <si>
    <t>Número</t>
  </si>
  <si>
    <t>DIMENSION A EVALUAR</t>
  </si>
  <si>
    <t>Ponderación</t>
  </si>
  <si>
    <t>Puntaje</t>
  </si>
  <si>
    <t>(%puntaje)*20</t>
  </si>
  <si>
    <t xml:space="preserve">Ejes estratégicos </t>
  </si>
  <si>
    <t>ESCALA DE PUNTAJES DE EVALUACION</t>
  </si>
  <si>
    <t>Análisis de Mercado</t>
  </si>
  <si>
    <t>DEFINICIÓN</t>
  </si>
  <si>
    <t>CATEGORÍA</t>
  </si>
  <si>
    <t>PUNTAJE</t>
  </si>
  <si>
    <t>Análisis de Recursos</t>
  </si>
  <si>
    <t>El proyecto no cumple las exigencias del programa.</t>
  </si>
  <si>
    <t>Deficiente</t>
  </si>
  <si>
    <t>Actividades del proyecto</t>
  </si>
  <si>
    <t>El proyecto presenta debilidades significativas respecto de las exigencias del programa.</t>
  </si>
  <si>
    <t>Insuficiente</t>
  </si>
  <si>
    <t>Conceptos Económicos</t>
  </si>
  <si>
    <t>El proyecto se ajusta mínimamente a las exigencias del programa y no satisface lo requerido.</t>
  </si>
  <si>
    <t>Regular</t>
  </si>
  <si>
    <t>Rentabilidad Económica</t>
  </si>
  <si>
    <t>El proyecto satisface y a veces supera las exigencias del programa.</t>
  </si>
  <si>
    <t>Bueno</t>
  </si>
  <si>
    <t>TOTAL DIMENSION III</t>
  </si>
  <si>
    <t>El proyecto siempre satisface y en la mayoría de sus propuestas supera las exigencias del programa.</t>
  </si>
  <si>
    <t>Excelente</t>
  </si>
  <si>
    <t xml:space="preserve">OBSERVACIONES GENERALES: </t>
  </si>
  <si>
    <t>Las observaciones derivadas de esta Pauta en sus cuadros de fortalezas y debilidades, así como en Observaciones Generales serán consideradas como parte del seguimiento de la supervisión técnica que se realizará una vez adjudicado el proyecto y puesto en marcha.</t>
  </si>
  <si>
    <t>I.   DATOS GENERALES</t>
  </si>
  <si>
    <t>PERIODO DE EVALUACIÓN</t>
  </si>
  <si>
    <t>Marzo 2025 - Junio 2025</t>
  </si>
  <si>
    <t xml:space="preserve">NOMBRE DEL PROYECTO </t>
  </si>
  <si>
    <t>Pagina Web Hostal-Soft</t>
  </si>
  <si>
    <t>EJE ESTRATÉGICO AL CUAL SE DIRIGE</t>
  </si>
  <si>
    <t>Gestión web de hostales de clientes</t>
  </si>
  <si>
    <t xml:space="preserve">PUNTAJE FINAL  </t>
  </si>
  <si>
    <t>1.-</t>
  </si>
  <si>
    <t>Criterio : Relación del proyecto con los ejes estratégicos de la organización</t>
  </si>
  <si>
    <t>Ponderador %  (A)</t>
  </si>
  <si>
    <t>Puntaje   (B)</t>
  </si>
  <si>
    <t xml:space="preserve">(% puntaje) (C) </t>
  </si>
  <si>
    <t>DESCRIPTORES</t>
  </si>
  <si>
    <t>Analiza de manera objetiva los ejes estratégicos correspondientes a la Municipalidad.</t>
  </si>
  <si>
    <t>Relaciona el proyecto con un eje estratégico de la organización.</t>
  </si>
  <si>
    <t>Define el propósito del proyecto con la finalidad de establecer que problema específico resolverá.</t>
  </si>
  <si>
    <t>Declara con claridad el proyecto con el fin de entender el propósito del mismo.</t>
  </si>
  <si>
    <t>PUNTAJE TOTAL</t>
  </si>
  <si>
    <t xml:space="preserve"> </t>
  </si>
  <si>
    <t>Observaciones: fundamente brevemente la calificación asignada</t>
  </si>
  <si>
    <t xml:space="preserve">Fortalezas   </t>
  </si>
  <si>
    <t>Debilidades</t>
  </si>
  <si>
    <t>Recursividad de codigo realizado por desarrollo de pagina</t>
  </si>
  <si>
    <t>3 mesesde desarrollo</t>
  </si>
  <si>
    <t>2.-</t>
  </si>
  <si>
    <t>Criterio : Analiza el mercado objetivo del proyecto</t>
  </si>
  <si>
    <t>Realiza un instrumento para la realización del Estudio de Mercado para conocer la aceptación del proyecto en la comunidad</t>
  </si>
  <si>
    <t>Identifica aspectos relevantes para la realización del proyecto en base al Estudio de Mercado.</t>
  </si>
  <si>
    <t>Identifica el tamaño de la muestra según los parámetros expuestos por el docente.</t>
  </si>
  <si>
    <t>Analiza de manera genérica la competencia, con el fin de obtener referencias en el precio del producto.</t>
  </si>
  <si>
    <t>Determina la comercialización del producto en base a criterios acordes al tipo de producto a ofrecer</t>
  </si>
  <si>
    <t>3.-</t>
  </si>
  <si>
    <t>Criterio : Establece los recursos óptimos para el desarrollo del proyecto</t>
  </si>
  <si>
    <t>Identifica los recursos humanos necesarios para el desarrollo del proyecto</t>
  </si>
  <si>
    <t>Identifica los recursos materiales necesarios para el desarrollo del proyecto</t>
  </si>
  <si>
    <t>Identifica la infraestructura  necesaria para el desarrollo del proyecto</t>
  </si>
  <si>
    <t>Identifica los aspectos legales necesarios para el desarrollo del proyecto.</t>
  </si>
  <si>
    <t>Justifica la determinación geográfica del proyecto basados en una tabla comparativa con ponderación de los aspectos a evaluar.</t>
  </si>
  <si>
    <t>4.-</t>
  </si>
  <si>
    <t>Criterio: Relaciona los recursos con las actividades a desarrollar en el proyecto</t>
  </si>
  <si>
    <t>Desarrolla la EDT del proyecto analizando las actividades involucradas en el mismo</t>
  </si>
  <si>
    <t>Genera un cronograma de actividades estableciendo etapas de acuerdo a las necesidades del proyecto</t>
  </si>
  <si>
    <t>Establece actividades relacionadas a la magnitud del proyecto</t>
  </si>
  <si>
    <t>Realiza un resumen de costos en recursos humanos, en relación a las actividades expresadas en el cronograma</t>
  </si>
  <si>
    <t>Realiza el cálculo de Reserva de contingencia acorde a los riesgos identificados por el equipo</t>
  </si>
  <si>
    <t xml:space="preserve">Determina factores ambientales para el cálculo de los costos asociados al proyecto. </t>
  </si>
  <si>
    <t>5.-</t>
  </si>
  <si>
    <t>Criterio : Establece conceptos económicos relacionados con el proyecto</t>
  </si>
  <si>
    <t>La estructura del flujo de caja es acorde al proyecto a realizar</t>
  </si>
  <si>
    <t>Establece valores en el flujo de caja acordes a las necesidades del proyecto</t>
  </si>
  <si>
    <t>Realiza las operaciones matemáticas de manera correcta dentro del flujo de caja</t>
  </si>
  <si>
    <t>Establece una inversión inicial acorde a las necesidades del proyecto</t>
  </si>
  <si>
    <t xml:space="preserve">Establece el punto de equilibrio de manera correcta de acuerdo a los datos del proyecto </t>
  </si>
  <si>
    <t xml:space="preserve">Establece el período de recuperación de capital de manera correcta de acuerdo a los datos del proyecto </t>
  </si>
  <si>
    <t>Determina el VAN del proyecto de manera correcta de acuerdo a la información entregada en el flujo de caja</t>
  </si>
  <si>
    <t>Determina la TIR de manera correcta de acuerdo a la información entregada en el flujo de caja</t>
  </si>
  <si>
    <t>Establece de manera correcta las cuotas del préstamo a pagar para cubrir la inversión inicial en relación al porcentaje solicitado</t>
  </si>
  <si>
    <t>6.-</t>
  </si>
  <si>
    <t>Criterio : Determina factores económicos que demuestran la factibilidad del proyecto</t>
  </si>
  <si>
    <t>a</t>
  </si>
  <si>
    <t>El período de recuperación es acorde a la duración del proyecto</t>
  </si>
  <si>
    <t>b</t>
  </si>
  <si>
    <t>La TIR es positiva, determinando que el proyecto es conveniente realizarlo</t>
  </si>
  <si>
    <t>c</t>
  </si>
  <si>
    <t>La VAN es positiva, determinando que el proyecto es conveniente realizarlo</t>
  </si>
  <si>
    <t>Junio 2025 - Julio 2025</t>
  </si>
  <si>
    <t>Web Movil Hostal-Soft</t>
  </si>
  <si>
    <t>Tecnologia portable para clientes</t>
  </si>
  <si>
    <t>- Mayor portabilidad al proyecto
- Más amigable con el usuario
- Solo requiere reutilizar algunos recursos ya existentes para su desarollo</t>
  </si>
  <si>
    <t>- La mayoria de los usuarios tiene un smartphone y saben usarlos parar realizar procesos y completar formularios
- Muchas empresas ya estan implementando este tipo de soluciones</t>
  </si>
  <si>
    <t>- La tercera edad requiere mayor capacitacion</t>
  </si>
  <si>
    <t>- Las personas asignadas ya conocen el proyecto web
- Se requere reutilizar recursos del proyecto web para adaptar a este proyecto
- tomará poco tiempo su desarrollo</t>
  </si>
  <si>
    <t>- Los costos son bajos debido a que reutilizan recursos ya usado en otro proyecto
- Los riesgos son conocidos por el equipo ya que esta relacionado a otro proyecto anterior</t>
  </si>
  <si>
    <t>NOMBRE DEL PROYECTO</t>
  </si>
  <si>
    <t>PUNTAJ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</si>
</sst>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1.0"/>
      <color theme="1"/>
      <name val="Calibri"/>
      <scheme val="minor"/>
    </font>
    <font>
      <b/>
      <sz val="20.0"/>
      <color theme="1"/>
      <name val="Calibri"/>
    </font>
    <font/>
    <font>
      <b/>
      <sz val="12.0"/>
      <color theme="1"/>
      <name val="Calibri"/>
    </font>
    <font>
      <sz val="10.0"/>
      <color theme="1"/>
      <name val="Calibri"/>
    </font>
    <font>
      <sz val="8.0"/>
      <color theme="1"/>
      <name val="Calibri"/>
    </font>
    <font>
      <sz val="9.0"/>
      <color theme="1"/>
      <name val="Calibri"/>
    </font>
    <font>
      <b/>
      <sz val="8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b/>
      <sz val="18.0"/>
      <color theme="1"/>
      <name val="Calibri"/>
    </font>
    <font>
      <b/>
      <sz val="9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</fills>
  <borders count="82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</border>
    <border>
      <right style="medium">
        <color rgb="FF000000"/>
      </right>
    </border>
    <border>
      <left/>
      <right/>
      <top/>
      <bottom/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top/>
      <bottom style="medium">
        <color rgb="FF000000"/>
      </bottom>
    </border>
    <border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top/>
    </border>
    <border>
      <top/>
    </border>
    <border>
      <right style="medium">
        <color rgb="FF000000"/>
      </right>
      <top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medium">
        <color rgb="FF000000"/>
      </top>
      <bottom/>
    </border>
    <border>
      <left/>
      <right/>
      <bottom/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8" fillId="0" fontId="4" numFmtId="0" xfId="0" applyAlignment="1" applyBorder="1" applyFont="1">
      <alignment shrinkToFit="0" vertical="center" wrapText="1"/>
    </xf>
    <xf borderId="9" fillId="3" fontId="5" numFmtId="0" xfId="0" applyAlignment="1" applyBorder="1" applyFont="1">
      <alignment shrinkToFit="0" vertical="center" wrapText="1"/>
    </xf>
    <xf borderId="9" fillId="3" fontId="5" numFmtId="2" xfId="0" applyAlignment="1" applyBorder="1" applyFont="1" applyNumberFormat="1">
      <alignment shrinkToFit="0" vertical="center" wrapText="1"/>
    </xf>
    <xf borderId="10" fillId="3" fontId="6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4" fontId="7" numFmtId="0" xfId="0" applyAlignment="1" applyBorder="1" applyFill="1" applyFont="1">
      <alignment horizontal="center" shrinkToFit="0" vertical="center" wrapText="1"/>
    </xf>
    <xf quotePrefix="1" borderId="13" fillId="4" fontId="7" numFmtId="0" xfId="0" applyAlignment="1" applyBorder="1" applyFont="1">
      <alignment horizontal="left" shrinkToFit="0" vertical="center" wrapText="1"/>
    </xf>
    <xf borderId="13" fillId="4" fontId="7" numFmtId="0" xfId="0" applyAlignment="1" applyBorder="1" applyFont="1">
      <alignment horizontal="center" shrinkToFit="0" vertical="center" wrapText="1"/>
    </xf>
    <xf borderId="13" fillId="4" fontId="7" numFmtId="2" xfId="0" applyAlignment="1" applyBorder="1" applyFont="1" applyNumberFormat="1">
      <alignment horizontal="center" shrinkToFit="0" vertical="center" wrapText="1"/>
    </xf>
    <xf borderId="14" fillId="4" fontId="7" numFmtId="2" xfId="0" applyAlignment="1" applyBorder="1" applyFont="1" applyNumberFormat="1">
      <alignment horizontal="center" shrinkToFit="0" vertical="center" wrapText="1"/>
    </xf>
    <xf borderId="15" fillId="3" fontId="5" numFmtId="0" xfId="0" applyAlignment="1" applyBorder="1" applyFont="1">
      <alignment horizontal="left" shrinkToFit="0" vertical="center" wrapText="1"/>
    </xf>
    <xf borderId="9" fillId="3" fontId="5" numFmtId="0" xfId="0" applyAlignment="1" applyBorder="1" applyFont="1">
      <alignment horizontal="left" shrinkToFit="0" vertical="center" wrapText="1"/>
    </xf>
    <xf borderId="16" fillId="3" fontId="5" numFmtId="0" xfId="0" applyAlignment="1" applyBorder="1" applyFont="1">
      <alignment horizontal="left" shrinkToFit="0" vertical="center" wrapText="1"/>
    </xf>
    <xf borderId="17" fillId="3" fontId="5" numFmtId="0" xfId="0" applyAlignment="1" applyBorder="1" applyFont="1">
      <alignment horizontal="center" shrinkToFit="0" vertical="center" wrapText="1"/>
    </xf>
    <xf borderId="17" fillId="3" fontId="5" numFmtId="0" xfId="0" applyAlignment="1" applyBorder="1" applyFont="1">
      <alignment horizontal="left" shrinkToFit="0" vertical="center" wrapText="1"/>
    </xf>
    <xf borderId="17" fillId="0" fontId="5" numFmtId="9" xfId="0" applyAlignment="1" applyBorder="1" applyFont="1" applyNumberFormat="1">
      <alignment horizontal="center" shrinkToFit="0" vertical="center" wrapText="1"/>
    </xf>
    <xf borderId="17" fillId="3" fontId="5" numFmtId="2" xfId="0" applyAlignment="1" applyBorder="1" applyFont="1" applyNumberFormat="1">
      <alignment horizontal="center" shrinkToFit="0" vertical="center" wrapText="1"/>
    </xf>
    <xf borderId="4" fillId="3" fontId="8" numFmtId="0" xfId="0" applyAlignment="1" applyBorder="1" applyFont="1">
      <alignment horizontal="center" shrinkToFit="0" vertical="center" wrapText="1"/>
    </xf>
    <xf borderId="18" fillId="2" fontId="9" numFmtId="0" xfId="0" applyAlignment="1" applyBorder="1" applyFont="1">
      <alignment horizontal="center" shrinkToFit="0" vertical="center" wrapText="1"/>
    </xf>
    <xf borderId="19" fillId="2" fontId="9" numFmtId="0" xfId="0" applyAlignment="1" applyBorder="1" applyFont="1">
      <alignment horizontal="center" shrinkToFit="0" vertical="center" wrapText="1"/>
    </xf>
    <xf borderId="20" fillId="2" fontId="9" numFmtId="0" xfId="0" applyAlignment="1" applyBorder="1" applyFont="1">
      <alignment horizontal="center" shrinkToFit="0" vertical="center" wrapText="1"/>
    </xf>
    <xf borderId="21" fillId="3" fontId="7" numFmtId="0" xfId="0" applyAlignment="1" applyBorder="1" applyFont="1">
      <alignment horizontal="left" shrinkToFit="0" vertical="center" wrapText="1"/>
    </xf>
    <xf borderId="17" fillId="3" fontId="7" numFmtId="0" xfId="0" applyAlignment="1" applyBorder="1" applyFont="1">
      <alignment horizontal="center" shrinkToFit="0" vertical="center" wrapText="1"/>
    </xf>
    <xf borderId="22" fillId="3" fontId="7" numFmtId="0" xfId="0" applyAlignment="1" applyBorder="1" applyFont="1">
      <alignment horizontal="center" shrinkToFit="0" vertical="center" wrapText="1"/>
    </xf>
    <xf borderId="23" fillId="4" fontId="5" numFmtId="0" xfId="0" applyAlignment="1" applyBorder="1" applyFont="1">
      <alignment horizontal="center" shrinkToFit="0" vertical="center" wrapText="1"/>
    </xf>
    <xf quotePrefix="1" borderId="24" fillId="4" fontId="7" numFmtId="0" xfId="0" applyAlignment="1" applyBorder="1" applyFont="1">
      <alignment horizontal="left" shrinkToFit="0" vertical="center" wrapText="1"/>
    </xf>
    <xf borderId="24" fillId="4" fontId="7" numFmtId="9" xfId="0" applyAlignment="1" applyBorder="1" applyFont="1" applyNumberFormat="1">
      <alignment horizontal="center" shrinkToFit="0" vertical="center" wrapText="1"/>
    </xf>
    <xf borderId="24" fillId="4" fontId="7" numFmtId="2" xfId="0" applyAlignment="1" applyBorder="1" applyFont="1" applyNumberFormat="1">
      <alignment horizontal="center" shrinkToFit="0" vertical="center" wrapText="1"/>
    </xf>
    <xf borderId="25" fillId="4" fontId="7" numFmtId="2" xfId="0" applyAlignment="1" applyBorder="1" applyFont="1" applyNumberFormat="1">
      <alignment horizontal="center" shrinkToFit="0" vertical="center" wrapText="1"/>
    </xf>
    <xf borderId="26" fillId="3" fontId="7" numFmtId="0" xfId="0" applyAlignment="1" applyBorder="1" applyFont="1">
      <alignment horizontal="left" shrinkToFit="0" vertical="center" wrapText="1"/>
    </xf>
    <xf borderId="27" fillId="3" fontId="7" numFmtId="0" xfId="0" applyAlignment="1" applyBorder="1" applyFont="1">
      <alignment horizontal="center" shrinkToFit="0" vertical="center" wrapText="1"/>
    </xf>
    <xf borderId="28" fillId="3" fontId="7" numFmtId="0" xfId="0" applyAlignment="1" applyBorder="1" applyFont="1">
      <alignment horizontal="center" shrinkToFit="0" vertical="center" wrapText="1"/>
    </xf>
    <xf borderId="9" fillId="3" fontId="5" numFmtId="0" xfId="0" applyAlignment="1" applyBorder="1" applyFont="1">
      <alignment horizontal="center" shrinkToFit="0" vertical="center" wrapText="1"/>
    </xf>
    <xf borderId="9" fillId="3" fontId="7" numFmtId="0" xfId="0" applyAlignment="1" applyBorder="1" applyFont="1">
      <alignment horizontal="left" shrinkToFit="0" vertical="center" wrapText="1"/>
    </xf>
    <xf borderId="0" fillId="0" fontId="7" numFmtId="9" xfId="0" applyAlignment="1" applyFont="1" applyNumberFormat="1">
      <alignment horizontal="center" shrinkToFit="0" vertical="center" wrapText="1"/>
    </xf>
    <xf borderId="9" fillId="3" fontId="7" numFmtId="0" xfId="0" applyAlignment="1" applyBorder="1" applyFont="1">
      <alignment horizontal="center" shrinkToFit="0" vertical="center" wrapText="1"/>
    </xf>
    <xf borderId="9" fillId="3" fontId="7" numFmtId="2" xfId="0" applyAlignment="1" applyBorder="1" applyFont="1" applyNumberFormat="1">
      <alignment horizontal="center" shrinkToFit="0" vertical="center" wrapText="1"/>
    </xf>
    <xf borderId="15" fillId="3" fontId="5" numFmtId="0" xfId="0" applyAlignment="1" applyBorder="1" applyFont="1">
      <alignment shrinkToFit="0" vertical="center" wrapText="1"/>
    </xf>
    <xf borderId="16" fillId="3" fontId="5" numFmtId="0" xfId="0" applyAlignment="1" applyBorder="1" applyFont="1">
      <alignment horizontal="center" shrinkToFit="0" vertical="center" wrapText="1"/>
    </xf>
    <xf borderId="29" fillId="3" fontId="9" numFmtId="0" xfId="0" applyAlignment="1" applyBorder="1" applyFont="1">
      <alignment horizontal="left" shrinkToFit="0" vertical="top" wrapText="1"/>
    </xf>
    <xf borderId="30" fillId="0" fontId="2" numFmtId="0" xfId="0" applyBorder="1" applyFont="1"/>
    <xf borderId="31" fillId="0" fontId="2" numFmtId="0" xfId="0" applyBorder="1" applyFont="1"/>
    <xf borderId="7" fillId="0" fontId="6" numFmtId="0" xfId="0" applyAlignment="1" applyBorder="1" applyFont="1">
      <alignment horizontal="left" shrinkToFit="0" vertical="top" wrapText="1"/>
    </xf>
    <xf borderId="8" fillId="0" fontId="2" numFmtId="0" xfId="0" applyBorder="1" applyFont="1"/>
    <xf borderId="7" fillId="0" fontId="2" numFmtId="0" xfId="0" applyBorder="1" applyFont="1"/>
    <xf borderId="32" fillId="3" fontId="5" numFmtId="0" xfId="0" applyAlignment="1" applyBorder="1" applyFont="1">
      <alignment shrinkToFit="0" vertical="center" wrapText="1"/>
    </xf>
    <xf borderId="33" fillId="3" fontId="7" numFmtId="0" xfId="0" applyAlignment="1" applyBorder="1" applyFont="1">
      <alignment horizontal="left" shrinkToFit="0" vertical="center" wrapText="1"/>
    </xf>
    <xf borderId="34" fillId="3" fontId="3" numFmtId="0" xfId="0" applyAlignment="1" applyBorder="1" applyFont="1">
      <alignment horizontal="center" shrinkToFit="0" vertical="center" wrapText="1"/>
    </xf>
    <xf borderId="35" fillId="0" fontId="2" numFmtId="0" xfId="0" applyBorder="1" applyFont="1"/>
    <xf borderId="36" fillId="3" fontId="5" numFmtId="0" xfId="0" applyAlignment="1" applyBorder="1" applyFont="1">
      <alignment horizontal="center" shrinkToFit="0" vertical="center" wrapText="1"/>
    </xf>
    <xf borderId="37" fillId="2" fontId="8" numFmtId="0" xfId="0" applyAlignment="1" applyBorder="1" applyFont="1">
      <alignment horizontal="center" shrinkToFit="0" vertical="center" wrapText="1"/>
    </xf>
    <xf borderId="38" fillId="0" fontId="2" numFmtId="0" xfId="0" applyBorder="1" applyFont="1"/>
    <xf borderId="39" fillId="0" fontId="2" numFmtId="0" xfId="0" applyBorder="1" applyFont="1"/>
    <xf borderId="40" fillId="2" fontId="7" numFmtId="0" xfId="0" applyAlignment="1" applyBorder="1" applyFont="1">
      <alignment horizontal="center" shrinkToFit="0" vertical="center" wrapText="1"/>
    </xf>
    <xf borderId="41" fillId="2" fontId="7" numFmtId="0" xfId="0" applyAlignment="1" applyBorder="1" applyFont="1">
      <alignment shrinkToFit="0" vertical="center" wrapText="1"/>
    </xf>
    <xf borderId="42" fillId="2" fontId="7" numFmtId="0" xfId="0" applyAlignment="1" applyBorder="1" applyFont="1">
      <alignment horizontal="center" shrinkToFit="0" vertical="center" wrapText="1"/>
    </xf>
    <xf borderId="37" fillId="2" fontId="7" numFmtId="0" xfId="0" applyAlignment="1" applyBorder="1" applyFont="1">
      <alignment horizontal="center" readingOrder="0" shrinkToFit="0" vertical="center" wrapText="1"/>
    </xf>
    <xf borderId="1" fillId="2" fontId="7" numFmtId="0" xfId="0" applyAlignment="1" applyBorder="1" applyFont="1">
      <alignment horizontal="center" readingOrder="0" shrinkToFit="0" vertical="center" wrapText="1"/>
    </xf>
    <xf borderId="37" fillId="2" fontId="10" numFmtId="2" xfId="0" applyAlignment="1" applyBorder="1" applyFont="1" applyNumberFormat="1">
      <alignment horizontal="center" shrinkToFit="0" vertical="center" wrapText="1"/>
    </xf>
    <xf borderId="9" fillId="3" fontId="7" numFmtId="0" xfId="0" applyAlignment="1" applyBorder="1" applyFont="1">
      <alignment shrinkToFit="0" vertical="center" wrapText="1"/>
    </xf>
    <xf borderId="13" fillId="4" fontId="7" numFmtId="0" xfId="0" applyAlignment="1" applyBorder="1" applyFont="1">
      <alignment horizontal="left" shrinkToFit="0" vertical="top" wrapText="1"/>
    </xf>
    <xf quotePrefix="1" borderId="13" fillId="4" fontId="7" numFmtId="0" xfId="0" applyAlignment="1" applyBorder="1" applyFont="1">
      <alignment horizontal="center" shrinkToFit="0" vertical="center" wrapText="1"/>
    </xf>
    <xf quotePrefix="1" borderId="14" fillId="4" fontId="7" numFmtId="0" xfId="0" applyAlignment="1" applyBorder="1" applyFont="1">
      <alignment horizontal="center" shrinkToFit="0" vertical="center" wrapText="1"/>
    </xf>
    <xf borderId="43" fillId="4" fontId="5" numFmtId="0" xfId="0" applyAlignment="1" applyBorder="1" applyFont="1">
      <alignment horizontal="center" shrinkToFit="0" vertical="center" wrapText="1"/>
    </xf>
    <xf borderId="44" fillId="4" fontId="7" numFmtId="0" xfId="0" applyAlignment="1" applyBorder="1" applyFont="1">
      <alignment horizontal="center" shrinkToFit="0" vertical="center" wrapText="1"/>
    </xf>
    <xf borderId="44" fillId="4" fontId="5" numFmtId="0" xfId="0" applyAlignment="1" applyBorder="1" applyFont="1">
      <alignment shrinkToFit="0" vertical="center" wrapText="1"/>
    </xf>
    <xf borderId="45" fillId="4" fontId="5" numFmtId="0" xfId="0" applyAlignment="1" applyBorder="1" applyFont="1">
      <alignment shrinkToFit="0" vertical="center" wrapText="1"/>
    </xf>
    <xf borderId="46" fillId="3" fontId="5" numFmtId="0" xfId="0" applyAlignment="1" applyBorder="1" applyFont="1">
      <alignment horizontal="center" shrinkToFit="0" vertical="center" wrapText="1"/>
    </xf>
    <xf borderId="47" fillId="3" fontId="5" numFmtId="0" xfId="0" applyAlignment="1" applyBorder="1" applyFont="1">
      <alignment horizontal="left" shrinkToFit="0" vertical="top" wrapText="1"/>
    </xf>
    <xf borderId="48" fillId="0" fontId="5" numFmtId="9" xfId="0" applyAlignment="1" applyBorder="1" applyFont="1" applyNumberFormat="1">
      <alignment horizontal="center" shrinkToFit="0" vertical="center" wrapText="1"/>
    </xf>
    <xf borderId="47" fillId="3" fontId="5" numFmtId="0" xfId="0" applyAlignment="1" applyBorder="1" applyFont="1">
      <alignment horizontal="center" shrinkToFit="0" vertical="center" wrapText="1"/>
    </xf>
    <xf borderId="49" fillId="3" fontId="5" numFmtId="2" xfId="0" applyAlignment="1" applyBorder="1" applyFont="1" applyNumberFormat="1">
      <alignment horizontal="center" shrinkToFit="0" vertical="center" wrapText="1"/>
    </xf>
    <xf borderId="21" fillId="3" fontId="5" numFmtId="0" xfId="0" applyAlignment="1" applyBorder="1" applyFont="1">
      <alignment horizontal="center" shrinkToFit="0" vertical="center" wrapText="1"/>
    </xf>
    <xf borderId="17" fillId="3" fontId="5" numFmtId="0" xfId="0" applyAlignment="1" applyBorder="1" applyFont="1">
      <alignment horizontal="left" shrinkToFit="0" vertical="top" wrapText="1"/>
    </xf>
    <xf borderId="22" fillId="3" fontId="5" numFmtId="2" xfId="0" applyAlignment="1" applyBorder="1" applyFont="1" applyNumberFormat="1">
      <alignment horizontal="center" shrinkToFit="0" vertical="center" wrapText="1"/>
    </xf>
    <xf borderId="50" fillId="0" fontId="2" numFmtId="0" xfId="0" applyBorder="1" applyFont="1"/>
    <xf borderId="51" fillId="0" fontId="2" numFmtId="0" xfId="0" applyBorder="1" applyFont="1"/>
    <xf borderId="52" fillId="0" fontId="2" numFmtId="0" xfId="0" applyBorder="1" applyFont="1"/>
    <xf borderId="24" fillId="4" fontId="7" numFmtId="0" xfId="0" applyAlignment="1" applyBorder="1" applyFont="1">
      <alignment shrinkToFit="0" vertical="center" wrapText="1"/>
    </xf>
    <xf borderId="24" fillId="4" fontId="7" numFmtId="0" xfId="0" applyAlignment="1" applyBorder="1" applyFont="1">
      <alignment horizontal="center" shrinkToFit="0" vertical="center" wrapText="1"/>
    </xf>
    <xf borderId="9" fillId="3" fontId="7" numFmtId="9" xfId="0" applyAlignment="1" applyBorder="1" applyFont="1" applyNumberFormat="1">
      <alignment horizontal="center" shrinkToFit="0" vertical="center" wrapText="1"/>
    </xf>
    <xf borderId="9" fillId="3" fontId="7" numFmtId="164" xfId="0" applyAlignment="1" applyBorder="1" applyFont="1" applyNumberFormat="1">
      <alignment horizontal="center" shrinkToFit="0" vertical="center" wrapText="1"/>
    </xf>
    <xf borderId="53" fillId="4" fontId="7" numFmtId="0" xfId="0" applyAlignment="1" applyBorder="1" applyFont="1">
      <alignment horizontal="center" shrinkToFit="0" vertical="center" wrapText="1"/>
    </xf>
    <xf borderId="54" fillId="0" fontId="2" numFmtId="0" xfId="0" applyBorder="1" applyFont="1"/>
    <xf borderId="55" fillId="0" fontId="2" numFmtId="0" xfId="0" applyBorder="1" applyFont="1"/>
    <xf borderId="21" fillId="4" fontId="7" numFmtId="0" xfId="0" applyAlignment="1" applyBorder="1" applyFont="1">
      <alignment horizontal="center" shrinkToFit="0" vertical="center" wrapText="1"/>
    </xf>
    <xf borderId="56" fillId="4" fontId="7" numFmtId="9" xfId="0" applyAlignment="1" applyBorder="1" applyFont="1" applyNumberFormat="1">
      <alignment horizontal="center" shrinkToFit="0" vertical="center" wrapText="1"/>
    </xf>
    <xf borderId="57" fillId="0" fontId="2" numFmtId="0" xfId="0" applyBorder="1" applyFont="1"/>
    <xf borderId="58" fillId="0" fontId="2" numFmtId="0" xfId="0" applyBorder="1" applyFont="1"/>
    <xf borderId="59" fillId="3" fontId="5" numFmtId="0" xfId="0" applyAlignment="1" applyBorder="1" applyFont="1">
      <alignment horizontal="left" shrinkToFit="0" vertical="center" wrapText="1"/>
    </xf>
    <xf borderId="60" fillId="3" fontId="5" numFmtId="9" xfId="0" applyAlignment="1" applyBorder="1" applyFont="1" applyNumberFormat="1">
      <alignment horizontal="left" shrinkToFit="0" vertical="center" wrapText="1"/>
    </xf>
    <xf borderId="61" fillId="0" fontId="2" numFmtId="0" xfId="0" applyBorder="1" applyFont="1"/>
    <xf borderId="62" fillId="0" fontId="2" numFmtId="0" xfId="0" applyBorder="1" applyFont="1"/>
    <xf borderId="63" fillId="0" fontId="2" numFmtId="0" xfId="0" applyBorder="1" applyFont="1"/>
    <xf borderId="64" fillId="0" fontId="2" numFmtId="0" xfId="0" applyBorder="1" applyFont="1"/>
    <xf borderId="65" fillId="0" fontId="2" numFmtId="0" xfId="0" applyBorder="1" applyFont="1"/>
    <xf borderId="66" fillId="0" fontId="2" numFmtId="0" xfId="0" applyBorder="1" applyFont="1"/>
    <xf borderId="12" fillId="4" fontId="5" numFmtId="0" xfId="0" applyAlignment="1" applyBorder="1" applyFont="1">
      <alignment horizontal="center" shrinkToFit="0" vertical="center" wrapText="1"/>
    </xf>
    <xf borderId="13" fillId="4" fontId="5" numFmtId="0" xfId="0" applyAlignment="1" applyBorder="1" applyFont="1">
      <alignment shrinkToFit="0" vertical="center" wrapText="1"/>
    </xf>
    <xf borderId="14" fillId="4" fontId="5" numFmtId="0" xfId="0" applyAlignment="1" applyBorder="1" applyFont="1">
      <alignment shrinkToFit="0" vertical="center" wrapText="1"/>
    </xf>
    <xf borderId="26" fillId="4" fontId="7" numFmtId="0" xfId="0" applyAlignment="1" applyBorder="1" applyFont="1">
      <alignment horizontal="center" shrinkToFit="0" vertical="center" wrapText="1"/>
    </xf>
    <xf borderId="67" fillId="4" fontId="7" numFmtId="9" xfId="0" applyAlignment="1" applyBorder="1" applyFont="1" applyNumberFormat="1">
      <alignment horizontal="center" shrinkToFit="0" vertical="center" wrapText="1"/>
    </xf>
    <xf borderId="68" fillId="0" fontId="2" numFmtId="0" xfId="0" applyBorder="1" applyFont="1"/>
    <xf borderId="69" fillId="0" fontId="2" numFmtId="0" xfId="0" applyBorder="1" applyFont="1"/>
    <xf borderId="70" fillId="3" fontId="5" numFmtId="0" xfId="0" applyAlignment="1" applyBorder="1" applyFont="1">
      <alignment horizontal="left" shrinkToFit="0" vertical="center" wrapText="1"/>
    </xf>
    <xf borderId="71" fillId="3" fontId="5" numFmtId="9" xfId="0" applyAlignment="1" applyBorder="1" applyFont="1" applyNumberFormat="1">
      <alignment horizontal="left" shrinkToFit="0" vertical="center" wrapText="1"/>
    </xf>
    <xf borderId="72" fillId="0" fontId="2" numFmtId="0" xfId="0" applyBorder="1" applyFont="1"/>
    <xf borderId="73" fillId="0" fontId="2" numFmtId="0" xfId="0" applyBorder="1" applyFont="1"/>
    <xf borderId="18" fillId="4" fontId="7" numFmtId="0" xfId="0" applyAlignment="1" applyBorder="1" applyFont="1">
      <alignment horizontal="center" shrinkToFit="0" vertical="center" wrapText="1"/>
    </xf>
    <xf quotePrefix="1" borderId="19" fillId="4" fontId="7" numFmtId="0" xfId="0" applyAlignment="1" applyBorder="1" applyFont="1">
      <alignment horizontal="center" shrinkToFit="0" vertical="center" wrapText="1"/>
    </xf>
    <xf quotePrefix="1" borderId="20" fillId="4" fontId="7" numFmtId="0" xfId="0" applyAlignment="1" applyBorder="1" applyFont="1">
      <alignment horizontal="center" shrinkToFit="0" vertical="center" wrapText="1"/>
    </xf>
    <xf borderId="74" fillId="4" fontId="5" numFmtId="0" xfId="0" applyAlignment="1" applyBorder="1" applyFont="1">
      <alignment horizontal="center" shrinkToFit="0" vertical="center" wrapText="1"/>
    </xf>
    <xf borderId="75" fillId="4" fontId="7" numFmtId="0" xfId="0" applyAlignment="1" applyBorder="1" applyFont="1">
      <alignment horizontal="center" shrinkToFit="0" vertical="center" wrapText="1"/>
    </xf>
    <xf borderId="75" fillId="4" fontId="5" numFmtId="0" xfId="0" applyAlignment="1" applyBorder="1" applyFont="1">
      <alignment shrinkToFit="0" vertical="center" wrapText="1"/>
    </xf>
    <xf borderId="76" fillId="4" fontId="5" numFmtId="0" xfId="0" applyAlignment="1" applyBorder="1" applyFont="1">
      <alignment shrinkToFit="0" vertical="center" wrapText="1"/>
    </xf>
    <xf borderId="17" fillId="2" fontId="5" numFmtId="9" xfId="0" applyAlignment="1" applyBorder="1" applyFont="1" applyNumberFormat="1">
      <alignment horizontal="center" shrinkToFit="0" vertical="center" wrapText="1"/>
    </xf>
    <xf borderId="17" fillId="2" fontId="5" numFmtId="0" xfId="0" applyAlignment="1" applyBorder="1" applyFont="1">
      <alignment horizontal="center" shrinkToFit="0" vertical="center" wrapText="1"/>
    </xf>
    <xf borderId="17" fillId="2" fontId="5" numFmtId="2" xfId="0" applyAlignment="1" applyBorder="1" applyFont="1" applyNumberFormat="1">
      <alignment horizontal="center" shrinkToFit="0" vertical="center" wrapText="1"/>
    </xf>
    <xf borderId="9" fillId="2" fontId="5" numFmtId="0" xfId="0" applyAlignment="1" applyBorder="1" applyFont="1">
      <alignment shrinkToFit="0" vertical="center" wrapText="1"/>
    </xf>
    <xf borderId="70" fillId="2" fontId="5" numFmtId="0" xfId="0" applyAlignment="1" applyBorder="1" applyFont="1">
      <alignment horizontal="left" shrinkToFit="0" vertical="center" wrapText="1"/>
    </xf>
    <xf borderId="71" fillId="2" fontId="5" numFmtId="9" xfId="0" applyAlignment="1" applyBorder="1" applyFont="1" applyNumberFormat="1">
      <alignment horizontal="left" shrinkToFit="0" vertical="center" wrapText="1"/>
    </xf>
    <xf borderId="9" fillId="2" fontId="5" numFmtId="0" xfId="0" applyAlignment="1" applyBorder="1" applyFont="1">
      <alignment horizontal="left" shrinkToFit="0" vertical="center" wrapText="1"/>
    </xf>
    <xf borderId="9" fillId="2" fontId="5" numFmtId="9" xfId="0" applyAlignment="1" applyBorder="1" applyFont="1" applyNumberFormat="1">
      <alignment horizontal="left" shrinkToFit="0" vertical="center" wrapText="1"/>
    </xf>
    <xf borderId="19" fillId="4" fontId="7" numFmtId="0" xfId="0" applyAlignment="1" applyBorder="1" applyFont="1">
      <alignment horizontal="left" shrinkToFit="0" vertical="top" wrapText="1"/>
    </xf>
    <xf borderId="26" fillId="4" fontId="5" numFmtId="0" xfId="0" applyAlignment="1" applyBorder="1" applyFont="1">
      <alignment horizontal="center" shrinkToFit="0" vertical="center" wrapText="1"/>
    </xf>
    <xf borderId="27" fillId="4" fontId="7" numFmtId="0" xfId="0" applyAlignment="1" applyBorder="1" applyFont="1">
      <alignment horizontal="center" shrinkToFit="0" vertical="center" wrapText="1"/>
    </xf>
    <xf borderId="27" fillId="4" fontId="5" numFmtId="0" xfId="0" applyAlignment="1" applyBorder="1" applyFont="1">
      <alignment shrinkToFit="0" vertical="center" wrapText="1"/>
    </xf>
    <xf borderId="28" fillId="4" fontId="5" numFmtId="0" xfId="0" applyAlignment="1" applyBorder="1" applyFont="1">
      <alignment shrinkToFit="0" vertical="center" wrapText="1"/>
    </xf>
    <xf borderId="46" fillId="2" fontId="5" numFmtId="0" xfId="0" applyAlignment="1" applyBorder="1" applyFont="1">
      <alignment horizontal="center" shrinkToFit="0" vertical="center" wrapText="1"/>
    </xf>
    <xf borderId="47" fillId="2" fontId="5" numFmtId="0" xfId="0" applyAlignment="1" applyBorder="1" applyFont="1">
      <alignment horizontal="left" shrinkToFit="0" vertical="center" wrapText="1"/>
    </xf>
    <xf borderId="47" fillId="2" fontId="5" numFmtId="9" xfId="0" applyAlignment="1" applyBorder="1" applyFont="1" applyNumberFormat="1">
      <alignment horizontal="center" shrinkToFit="0" vertical="center" wrapText="1"/>
    </xf>
    <xf borderId="47" fillId="2" fontId="5" numFmtId="0" xfId="0" applyAlignment="1" applyBorder="1" applyFont="1">
      <alignment horizontal="center" shrinkToFit="0" vertical="center" wrapText="1"/>
    </xf>
    <xf borderId="49" fillId="2" fontId="5" numFmtId="2" xfId="0" applyAlignment="1" applyBorder="1" applyFont="1" applyNumberFormat="1">
      <alignment horizontal="center" shrinkToFit="0" vertical="center" wrapText="1"/>
    </xf>
    <xf borderId="21" fillId="2" fontId="5" numFmtId="0" xfId="0" applyAlignment="1" applyBorder="1" applyFont="1">
      <alignment horizontal="center" shrinkToFit="0" vertical="center" wrapText="1"/>
    </xf>
    <xf borderId="17" fillId="2" fontId="5" numFmtId="0" xfId="0" applyAlignment="1" applyBorder="1" applyFont="1">
      <alignment horizontal="left" shrinkToFit="0" vertical="center" wrapText="1"/>
    </xf>
    <xf borderId="22" fillId="2" fontId="5" numFmtId="2" xfId="0" applyAlignment="1" applyBorder="1" applyFont="1" applyNumberFormat="1">
      <alignment horizontal="center" shrinkToFit="0" vertical="center" wrapText="1"/>
    </xf>
    <xf borderId="74" fillId="2" fontId="5" numFmtId="0" xfId="0" applyAlignment="1" applyBorder="1" applyFont="1">
      <alignment horizontal="center" shrinkToFit="0" vertical="center" wrapText="1"/>
    </xf>
    <xf borderId="75" fillId="2" fontId="5" numFmtId="0" xfId="0" applyAlignment="1" applyBorder="1" applyFont="1">
      <alignment horizontal="left" shrinkToFit="0" vertical="center" wrapText="1"/>
    </xf>
    <xf borderId="75" fillId="2" fontId="5" numFmtId="9" xfId="0" applyAlignment="1" applyBorder="1" applyFont="1" applyNumberFormat="1">
      <alignment horizontal="center" shrinkToFit="0" vertical="center" wrapText="1"/>
    </xf>
    <xf borderId="75" fillId="2" fontId="5" numFmtId="0" xfId="0" applyAlignment="1" applyBorder="1" applyFont="1">
      <alignment horizontal="center" shrinkToFit="0" vertical="center" wrapText="1"/>
    </xf>
    <xf borderId="76" fillId="2" fontId="5" numFmtId="2" xfId="0" applyAlignment="1" applyBorder="1" applyFont="1" applyNumberFormat="1">
      <alignment horizontal="center" shrinkToFit="0" vertical="center" wrapText="1"/>
    </xf>
    <xf borderId="9" fillId="2" fontId="5" numFmtId="0" xfId="0" applyAlignment="1" applyBorder="1" applyFont="1">
      <alignment horizontal="center" shrinkToFit="0" vertical="center" wrapText="1"/>
    </xf>
    <xf borderId="33" fillId="2" fontId="7" numFmtId="0" xfId="0" applyAlignment="1" applyBorder="1" applyFont="1">
      <alignment horizontal="left" shrinkToFit="0" vertical="center" wrapText="1"/>
    </xf>
    <xf borderId="33" fillId="2" fontId="7" numFmtId="9" xfId="0" applyAlignment="1" applyBorder="1" applyFont="1" applyNumberFormat="1">
      <alignment horizontal="center" shrinkToFit="0" vertical="center" wrapText="1"/>
    </xf>
    <xf borderId="33" fillId="2" fontId="7" numFmtId="0" xfId="0" applyAlignment="1" applyBorder="1" applyFont="1">
      <alignment horizontal="center" shrinkToFit="0" vertical="center" wrapText="1"/>
    </xf>
    <xf borderId="33" fillId="2" fontId="7" numFmtId="2" xfId="0" applyAlignment="1" applyBorder="1" applyFont="1" applyNumberFormat="1">
      <alignment horizontal="center" shrinkToFit="0" vertical="center" wrapText="1"/>
    </xf>
    <xf borderId="43" fillId="4" fontId="7" numFmtId="0" xfId="0" applyAlignment="1" applyBorder="1" applyFont="1">
      <alignment horizontal="center" shrinkToFit="0" vertical="center" wrapText="1"/>
    </xf>
    <xf borderId="77" fillId="4" fontId="7" numFmtId="9" xfId="0" applyAlignment="1" applyBorder="1" applyFont="1" applyNumberFormat="1">
      <alignment horizontal="center" shrinkToFit="0" vertical="center" wrapText="1"/>
    </xf>
    <xf borderId="0" fillId="0" fontId="5" numFmtId="9" xfId="0" applyAlignment="1" applyFont="1" applyNumberFormat="1">
      <alignment horizontal="center" shrinkToFit="0" vertical="center" wrapText="1"/>
    </xf>
    <xf borderId="9" fillId="3" fontId="5" numFmtId="2" xfId="0" applyAlignment="1" applyBorder="1" applyFont="1" applyNumberFormat="1">
      <alignment horizontal="center" shrinkToFit="0" vertical="center" wrapText="1"/>
    </xf>
    <xf borderId="19" fillId="4" fontId="7" numFmtId="0" xfId="0" applyAlignment="1" applyBorder="1" applyFont="1">
      <alignment horizontal="left" shrinkToFit="0" vertical="center" wrapText="1"/>
    </xf>
    <xf borderId="78" fillId="3" fontId="7" numFmtId="0" xfId="0" applyAlignment="1" applyBorder="1" applyFont="1">
      <alignment horizontal="left" shrinkToFit="0" vertical="center" wrapText="1"/>
    </xf>
    <xf borderId="51" fillId="0" fontId="7" numFmtId="9" xfId="0" applyAlignment="1" applyBorder="1" applyFont="1" applyNumberFormat="1">
      <alignment horizontal="center" shrinkToFit="0" vertical="center" wrapText="1"/>
    </xf>
    <xf borderId="51" fillId="0" fontId="7" numFmtId="0" xfId="0" applyAlignment="1" applyBorder="1" applyFont="1">
      <alignment horizontal="center" shrinkToFit="0" vertical="center" wrapText="1"/>
    </xf>
    <xf borderId="51" fillId="0" fontId="7" numFmtId="2" xfId="0" applyAlignment="1" applyBorder="1" applyFont="1" applyNumberFormat="1">
      <alignment horizontal="center" shrinkToFit="0" vertical="center" wrapText="1"/>
    </xf>
    <xf borderId="19" fillId="4" fontId="11" numFmtId="0" xfId="0" applyAlignment="1" applyBorder="1" applyFont="1">
      <alignment horizontal="left" shrinkToFit="0" vertical="center" wrapText="1"/>
    </xf>
    <xf borderId="47" fillId="3" fontId="5" numFmtId="0" xfId="0" applyAlignment="1" applyBorder="1" applyFont="1">
      <alignment horizontal="left" shrinkToFit="0" vertical="center" wrapText="1"/>
    </xf>
    <xf borderId="44" fillId="4" fontId="7" numFmtId="9" xfId="0" applyAlignment="1" applyBorder="1" applyFont="1" applyNumberFormat="1">
      <alignment horizontal="center" shrinkToFit="0" vertical="center" wrapText="1"/>
    </xf>
    <xf borderId="45" fillId="4" fontId="7" numFmtId="2" xfId="0" applyAlignment="1" applyBorder="1" applyFont="1" applyNumberFormat="1">
      <alignment horizontal="center" shrinkToFit="0" vertical="center" wrapText="1"/>
    </xf>
    <xf borderId="79" fillId="3" fontId="5" numFmtId="0" xfId="0" applyAlignment="1" applyBorder="1" applyFont="1">
      <alignment horizontal="left" shrinkToFit="0" vertical="center" wrapText="1"/>
    </xf>
    <xf borderId="80" fillId="3" fontId="5" numFmtId="9" xfId="0" applyAlignment="1" applyBorder="1" applyFont="1" applyNumberFormat="1">
      <alignment horizontal="left" shrinkToFit="0" vertical="center" wrapText="1"/>
    </xf>
    <xf borderId="9" fillId="3" fontId="5" numFmtId="9" xfId="0" applyAlignment="1" applyBorder="1" applyFont="1" applyNumberFormat="1">
      <alignment horizontal="left" shrinkToFit="0" vertical="center" wrapText="1"/>
    </xf>
    <xf borderId="9" fillId="3" fontId="7" numFmtId="9" xfId="0" applyAlignment="1" applyBorder="1" applyFont="1" applyNumberFormat="1">
      <alignment horizontal="left" shrinkToFit="0" vertical="center" wrapText="1"/>
    </xf>
    <xf borderId="37" fillId="2" fontId="7" numFmtId="0" xfId="0" applyAlignment="1" applyBorder="1" applyFont="1">
      <alignment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22" fillId="3" fontId="7" numFmtId="0" xfId="0" applyAlignment="1" applyBorder="1" applyFont="1">
      <alignment horizontal="center" readingOrder="0" shrinkToFit="0" vertical="center" wrapText="1"/>
    </xf>
    <xf borderId="37" fillId="2" fontId="7" numFmtId="0" xfId="0" applyAlignment="1" applyBorder="1" applyFont="1">
      <alignment readingOrder="0" shrinkToFit="0" vertical="center" wrapText="1"/>
    </xf>
    <xf borderId="37" fillId="2" fontId="7" numFmtId="0" xfId="0" applyAlignment="1" applyBorder="1" applyFont="1">
      <alignment horizontal="center" shrinkToFit="0" vertical="center" wrapText="1"/>
    </xf>
    <xf borderId="29" fillId="2" fontId="7" numFmtId="0" xfId="0" applyAlignment="1" applyBorder="1" applyFont="1">
      <alignment horizontal="center" shrinkToFit="0" vertical="center" wrapText="1"/>
    </xf>
    <xf borderId="81" fillId="3" fontId="7" numFmtId="0" xfId="0" applyAlignment="1" applyBorder="1" applyFont="1">
      <alignment shrinkToFit="0" vertical="center" wrapText="1"/>
    </xf>
    <xf borderId="81" fillId="3" fontId="5" numFmtId="0" xfId="0" applyAlignment="1" applyBorder="1" applyFont="1">
      <alignment shrinkToFit="0" vertical="center" wrapText="1"/>
    </xf>
    <xf borderId="47" fillId="3" fontId="5" numFmtId="0" xfId="0" applyAlignment="1" applyBorder="1" applyFont="1">
      <alignment horizontal="center" readingOrder="0" shrinkToFit="0" vertical="center" wrapText="1"/>
    </xf>
    <xf borderId="17" fillId="3" fontId="5" numFmtId="0" xfId="0" applyAlignment="1" applyBorder="1" applyFont="1">
      <alignment horizontal="center" readingOrder="0" shrinkToFit="0" vertical="center" wrapText="1"/>
    </xf>
    <xf borderId="59" fillId="3" fontId="5" numFmtId="0" xfId="0" applyAlignment="1" applyBorder="1" applyFont="1">
      <alignment horizontal="left" readingOrder="0" shrinkToFit="0" vertical="center" wrapText="1"/>
    </xf>
    <xf borderId="70" fillId="3" fontId="5" numFmtId="0" xfId="0" applyAlignment="1" applyBorder="1" applyFont="1">
      <alignment horizontal="left" readingOrder="0" shrinkToFit="0" vertical="center" wrapText="1"/>
    </xf>
    <xf borderId="71" fillId="3" fontId="5" numFmtId="0" xfId="0" applyAlignment="1" applyBorder="1" applyFont="1">
      <alignment horizontal="left" readingOrder="0" shrinkToFit="0" vertical="center" wrapText="1"/>
    </xf>
    <xf borderId="17" fillId="2" fontId="5" numFmtId="0" xfId="0" applyAlignment="1" applyBorder="1" applyFont="1">
      <alignment horizontal="center" readingOrder="0" shrinkToFit="0" vertical="center" wrapText="1"/>
    </xf>
    <xf borderId="70" fillId="2" fontId="5" numFmtId="0" xfId="0" applyAlignment="1" applyBorder="1" applyFont="1">
      <alignment horizontal="left" readingOrder="0" shrinkToFit="0" vertical="center" wrapText="1"/>
    </xf>
    <xf borderId="47" fillId="2" fontId="5" numFmtId="0" xfId="0" applyAlignment="1" applyBorder="1" applyFont="1">
      <alignment horizontal="center" readingOrder="0" shrinkToFit="0" vertical="center" wrapText="1"/>
    </xf>
    <xf borderId="75" fillId="2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5.57"/>
    <col customWidth="1" min="3" max="8" width="10.71"/>
    <col customWidth="1" min="9" max="9" width="17.29"/>
    <col customWidth="1" min="10" max="26" width="10.71"/>
  </cols>
  <sheetData>
    <row r="1" ht="21.75" customHeight="1">
      <c r="A1" s="1" t="s">
        <v>0</v>
      </c>
      <c r="B1" s="2"/>
      <c r="C1" s="2"/>
      <c r="D1" s="2"/>
      <c r="E1" s="3"/>
      <c r="H1" s="4" t="s">
        <v>1</v>
      </c>
      <c r="I1" s="5"/>
      <c r="J1" s="5"/>
      <c r="K1" s="5"/>
      <c r="L1" s="6"/>
    </row>
    <row r="2" ht="14.25" customHeight="1">
      <c r="A2" s="7"/>
      <c r="B2" s="8"/>
      <c r="C2" s="8"/>
      <c r="D2" s="8"/>
      <c r="E2" s="9"/>
      <c r="H2" s="10"/>
      <c r="I2" s="10"/>
      <c r="J2" s="10"/>
      <c r="K2" s="11"/>
      <c r="L2" s="11"/>
    </row>
    <row r="3" ht="22.5" customHeight="1">
      <c r="A3" s="12" t="s">
        <v>2</v>
      </c>
      <c r="B3" s="5"/>
      <c r="C3" s="5"/>
      <c r="D3" s="5"/>
      <c r="E3" s="13"/>
      <c r="H3" s="14" t="s">
        <v>3</v>
      </c>
      <c r="I3" s="15" t="s">
        <v>4</v>
      </c>
      <c r="J3" s="16" t="s">
        <v>5</v>
      </c>
      <c r="K3" s="17" t="s">
        <v>6</v>
      </c>
      <c r="L3" s="18" t="s">
        <v>7</v>
      </c>
    </row>
    <row r="4" ht="14.25" customHeight="1">
      <c r="A4" s="19"/>
      <c r="B4" s="20"/>
      <c r="C4" s="20"/>
      <c r="D4" s="20"/>
      <c r="E4" s="21"/>
      <c r="H4" s="22">
        <v>1.0</v>
      </c>
      <c r="I4" s="23" t="s">
        <v>8</v>
      </c>
      <c r="J4" s="24">
        <v>0.2</v>
      </c>
      <c r="K4" s="25">
        <f>E29</f>
        <v>5</v>
      </c>
      <c r="L4" s="25">
        <f t="shared" ref="L4:L9" si="1">(K4*J4)</f>
        <v>1</v>
      </c>
    </row>
    <row r="5" ht="14.25" customHeight="1">
      <c r="A5" s="19"/>
      <c r="B5" s="26" t="s">
        <v>9</v>
      </c>
      <c r="C5" s="5"/>
      <c r="D5" s="6"/>
      <c r="E5" s="21"/>
      <c r="H5" s="22">
        <v>2.0</v>
      </c>
      <c r="I5" s="23" t="s">
        <v>10</v>
      </c>
      <c r="J5" s="24">
        <v>0.1</v>
      </c>
      <c r="K5" s="25">
        <f>E44</f>
        <v>5</v>
      </c>
      <c r="L5" s="25">
        <f t="shared" si="1"/>
        <v>0.5</v>
      </c>
    </row>
    <row r="6" ht="14.25" customHeight="1">
      <c r="A6" s="19"/>
      <c r="B6" s="27" t="s">
        <v>11</v>
      </c>
      <c r="C6" s="28" t="s">
        <v>12</v>
      </c>
      <c r="D6" s="29" t="s">
        <v>13</v>
      </c>
      <c r="E6" s="21"/>
      <c r="H6" s="22">
        <v>3.0</v>
      </c>
      <c r="I6" s="23" t="s">
        <v>14</v>
      </c>
      <c r="J6" s="24">
        <v>0.1</v>
      </c>
      <c r="K6" s="25">
        <f>E59</f>
        <v>5</v>
      </c>
      <c r="L6" s="25">
        <f t="shared" si="1"/>
        <v>0.5</v>
      </c>
    </row>
    <row r="7" ht="14.25" customHeight="1">
      <c r="A7" s="19"/>
      <c r="B7" s="30" t="s">
        <v>15</v>
      </c>
      <c r="C7" s="31" t="s">
        <v>16</v>
      </c>
      <c r="D7" s="32">
        <v>1.0</v>
      </c>
      <c r="E7" s="21"/>
      <c r="H7" s="22">
        <v>4.0</v>
      </c>
      <c r="I7" s="23" t="s">
        <v>17</v>
      </c>
      <c r="J7" s="24">
        <v>0.1</v>
      </c>
      <c r="K7" s="25">
        <f>E76</f>
        <v>5</v>
      </c>
      <c r="L7" s="25">
        <f t="shared" si="1"/>
        <v>0.5</v>
      </c>
    </row>
    <row r="8" ht="14.25" customHeight="1">
      <c r="A8" s="19"/>
      <c r="B8" s="30" t="s">
        <v>18</v>
      </c>
      <c r="C8" s="31" t="s">
        <v>19</v>
      </c>
      <c r="D8" s="32">
        <v>2.0</v>
      </c>
      <c r="E8" s="21"/>
      <c r="H8" s="22">
        <v>5.0</v>
      </c>
      <c r="I8" s="23" t="s">
        <v>20</v>
      </c>
      <c r="J8" s="24">
        <v>0.2</v>
      </c>
      <c r="K8" s="25">
        <f>E94</f>
        <v>5</v>
      </c>
      <c r="L8" s="25">
        <f t="shared" si="1"/>
        <v>1</v>
      </c>
    </row>
    <row r="9" ht="14.25" customHeight="1">
      <c r="A9" s="19"/>
      <c r="B9" s="30" t="s">
        <v>21</v>
      </c>
      <c r="C9" s="31" t="s">
        <v>22</v>
      </c>
      <c r="D9" s="32">
        <v>3.0</v>
      </c>
      <c r="E9" s="21"/>
      <c r="H9" s="22">
        <v>6.0</v>
      </c>
      <c r="I9" s="23" t="s">
        <v>23</v>
      </c>
      <c r="J9" s="24">
        <v>0.3</v>
      </c>
      <c r="K9" s="25">
        <f>E107</f>
        <v>5</v>
      </c>
      <c r="L9" s="25">
        <f t="shared" si="1"/>
        <v>1.5</v>
      </c>
    </row>
    <row r="10" ht="14.25" customHeight="1">
      <c r="A10" s="19"/>
      <c r="B10" s="30" t="s">
        <v>24</v>
      </c>
      <c r="C10" s="31" t="s">
        <v>25</v>
      </c>
      <c r="D10" s="32">
        <v>4.0</v>
      </c>
      <c r="E10" s="21"/>
      <c r="H10" s="33"/>
      <c r="I10" s="34" t="s">
        <v>26</v>
      </c>
      <c r="J10" s="35">
        <f>SUM(J4:J9)</f>
        <v>1</v>
      </c>
      <c r="K10" s="36"/>
      <c r="L10" s="37">
        <f>SUM(L4:L9)</f>
        <v>5</v>
      </c>
    </row>
    <row r="11" ht="14.25" customHeight="1">
      <c r="A11" s="19"/>
      <c r="B11" s="38" t="s">
        <v>27</v>
      </c>
      <c r="C11" s="39" t="s">
        <v>28</v>
      </c>
      <c r="D11" s="40">
        <v>5.0</v>
      </c>
      <c r="E11" s="21"/>
      <c r="H11" s="41"/>
      <c r="I11" s="42"/>
      <c r="J11" s="43"/>
      <c r="K11" s="44"/>
      <c r="L11" s="45"/>
    </row>
    <row r="12" ht="14.25" customHeight="1">
      <c r="A12" s="46"/>
      <c r="B12" s="42"/>
      <c r="C12" s="44"/>
      <c r="D12" s="44"/>
      <c r="E12" s="47"/>
      <c r="H12" s="48" t="s">
        <v>29</v>
      </c>
      <c r="I12" s="49"/>
      <c r="J12" s="49"/>
      <c r="K12" s="49"/>
      <c r="L12" s="50"/>
    </row>
    <row r="13" ht="39.0" customHeight="1">
      <c r="A13" s="51" t="s">
        <v>30</v>
      </c>
      <c r="E13" s="52"/>
      <c r="H13" s="53"/>
      <c r="L13" s="52"/>
    </row>
    <row r="14" ht="14.25" customHeight="1">
      <c r="A14" s="54"/>
      <c r="B14" s="55"/>
      <c r="C14" s="56"/>
      <c r="D14" s="57"/>
      <c r="E14" s="58"/>
      <c r="H14" s="53"/>
      <c r="L14" s="52"/>
    </row>
    <row r="15" ht="14.25" customHeight="1">
      <c r="A15" s="59" t="s">
        <v>31</v>
      </c>
      <c r="B15" s="60"/>
      <c r="C15" s="60"/>
      <c r="D15" s="60"/>
      <c r="E15" s="61"/>
      <c r="H15" s="53"/>
      <c r="L15" s="52"/>
    </row>
    <row r="16" ht="14.25" customHeight="1">
      <c r="A16" s="62" t="s">
        <v>32</v>
      </c>
      <c r="B16" s="63" t="s">
        <v>33</v>
      </c>
      <c r="C16" s="2"/>
      <c r="D16" s="2"/>
      <c r="E16" s="3"/>
      <c r="H16" s="53"/>
      <c r="L16" s="52"/>
    </row>
    <row r="17" ht="14.25" customHeight="1">
      <c r="A17" s="64" t="s">
        <v>34</v>
      </c>
      <c r="B17" s="65" t="s">
        <v>35</v>
      </c>
      <c r="C17" s="60"/>
      <c r="D17" s="60"/>
      <c r="E17" s="61"/>
      <c r="H17" s="53"/>
      <c r="L17" s="52"/>
    </row>
    <row r="18" ht="14.25" customHeight="1">
      <c r="A18" s="62" t="s">
        <v>36</v>
      </c>
      <c r="B18" s="66" t="s">
        <v>37</v>
      </c>
      <c r="C18" s="2"/>
      <c r="D18" s="2"/>
      <c r="E18" s="3"/>
      <c r="H18" s="53"/>
      <c r="L18" s="52"/>
    </row>
    <row r="19" ht="14.25" customHeight="1">
      <c r="A19" s="64" t="s">
        <v>38</v>
      </c>
      <c r="B19" s="67">
        <f>L10</f>
        <v>5</v>
      </c>
      <c r="C19" s="60"/>
      <c r="D19" s="60"/>
      <c r="E19" s="61"/>
      <c r="H19" s="53"/>
      <c r="L19" s="52"/>
    </row>
    <row r="20" ht="14.25" customHeight="1">
      <c r="A20" s="68"/>
      <c r="B20" s="68"/>
      <c r="C20" s="10"/>
      <c r="D20" s="10"/>
      <c r="E20" s="10"/>
      <c r="H20" s="53"/>
      <c r="L20" s="52"/>
    </row>
    <row r="21" ht="14.25" customHeight="1">
      <c r="A21" s="42"/>
      <c r="B21" s="42"/>
      <c r="C21" s="10"/>
      <c r="D21" s="10"/>
      <c r="E21" s="10"/>
      <c r="H21" s="53"/>
      <c r="L21" s="52"/>
    </row>
    <row r="22" ht="14.25" customHeight="1">
      <c r="A22" s="42"/>
      <c r="B22" s="42"/>
      <c r="C22" s="10"/>
      <c r="D22" s="10"/>
      <c r="E22" s="10"/>
      <c r="H22" s="53"/>
      <c r="L22" s="52"/>
    </row>
    <row r="23" ht="14.25" customHeight="1">
      <c r="A23" s="14" t="s">
        <v>39</v>
      </c>
      <c r="B23" s="69" t="s">
        <v>40</v>
      </c>
      <c r="C23" s="70" t="s">
        <v>41</v>
      </c>
      <c r="D23" s="70" t="s">
        <v>42</v>
      </c>
      <c r="E23" s="71" t="s">
        <v>43</v>
      </c>
      <c r="H23" s="53"/>
      <c r="L23" s="52"/>
    </row>
    <row r="24" ht="14.25" customHeight="1">
      <c r="A24" s="72"/>
      <c r="B24" s="73" t="s">
        <v>44</v>
      </c>
      <c r="C24" s="74"/>
      <c r="D24" s="74"/>
      <c r="E24" s="75"/>
      <c r="H24" s="53"/>
      <c r="L24" s="52"/>
    </row>
    <row r="25" ht="14.25" customHeight="1">
      <c r="A25" s="76">
        <v>1.0</v>
      </c>
      <c r="B25" s="77" t="s">
        <v>45</v>
      </c>
      <c r="C25" s="78">
        <v>0.2</v>
      </c>
      <c r="D25" s="79">
        <v>5.0</v>
      </c>
      <c r="E25" s="80">
        <f t="shared" ref="E25:E28" si="2">(D25*C25)</f>
        <v>1</v>
      </c>
      <c r="H25" s="53"/>
      <c r="L25" s="52"/>
    </row>
    <row r="26" ht="14.25" customHeight="1">
      <c r="A26" s="81">
        <v>2.0</v>
      </c>
      <c r="B26" s="82" t="s">
        <v>46</v>
      </c>
      <c r="C26" s="24">
        <v>0.3</v>
      </c>
      <c r="D26" s="22">
        <v>5.0</v>
      </c>
      <c r="E26" s="83">
        <f t="shared" si="2"/>
        <v>1.5</v>
      </c>
      <c r="H26" s="84"/>
      <c r="I26" s="85"/>
      <c r="J26" s="85"/>
      <c r="K26" s="85"/>
      <c r="L26" s="86"/>
    </row>
    <row r="27" ht="14.25" customHeight="1">
      <c r="A27" s="81">
        <v>3.0</v>
      </c>
      <c r="B27" s="82" t="s">
        <v>47</v>
      </c>
      <c r="C27" s="24">
        <v>0.2</v>
      </c>
      <c r="D27" s="22">
        <v>5.0</v>
      </c>
      <c r="E27" s="83">
        <f t="shared" si="2"/>
        <v>1</v>
      </c>
    </row>
    <row r="28" ht="14.25" customHeight="1">
      <c r="A28" s="81">
        <v>4.0</v>
      </c>
      <c r="B28" s="82" t="s">
        <v>48</v>
      </c>
      <c r="C28" s="24">
        <v>0.3</v>
      </c>
      <c r="D28" s="22">
        <v>5.0</v>
      </c>
      <c r="E28" s="83">
        <f t="shared" si="2"/>
        <v>1.5</v>
      </c>
    </row>
    <row r="29" ht="14.25" customHeight="1">
      <c r="A29" s="33"/>
      <c r="B29" s="87" t="s">
        <v>49</v>
      </c>
      <c r="C29" s="35">
        <f>SUM(C25:C28)</f>
        <v>1</v>
      </c>
      <c r="D29" s="88" t="s">
        <v>50</v>
      </c>
      <c r="E29" s="37">
        <f>SUM(E25:E28)</f>
        <v>5</v>
      </c>
    </row>
    <row r="30" ht="14.25" customHeight="1">
      <c r="A30" s="41"/>
      <c r="B30" s="68"/>
      <c r="C30" s="89"/>
      <c r="D30" s="44"/>
      <c r="E30" s="90"/>
    </row>
    <row r="31" ht="14.25" customHeight="1">
      <c r="A31" s="41"/>
      <c r="B31" s="91" t="s">
        <v>51</v>
      </c>
      <c r="C31" s="92"/>
      <c r="D31" s="92"/>
      <c r="E31" s="93"/>
    </row>
    <row r="32" ht="14.25" customHeight="1">
      <c r="A32" s="41"/>
      <c r="B32" s="94" t="s">
        <v>52</v>
      </c>
      <c r="C32" s="95" t="s">
        <v>53</v>
      </c>
      <c r="D32" s="96"/>
      <c r="E32" s="97"/>
    </row>
    <row r="33" ht="14.25" customHeight="1">
      <c r="A33" s="41"/>
      <c r="B33" s="98" t="s">
        <v>54</v>
      </c>
      <c r="C33" s="99" t="s">
        <v>55</v>
      </c>
      <c r="D33" s="100"/>
      <c r="E33" s="101"/>
    </row>
    <row r="34" ht="14.25" customHeight="1">
      <c r="A34" s="41"/>
      <c r="B34" s="102"/>
      <c r="C34" s="103"/>
      <c r="E34" s="52"/>
    </row>
    <row r="35" ht="14.25" customHeight="1">
      <c r="A35" s="10"/>
      <c r="B35" s="104"/>
      <c r="C35" s="105"/>
      <c r="D35" s="85"/>
      <c r="E35" s="86"/>
    </row>
    <row r="36" ht="14.25" customHeight="1">
      <c r="A36" s="10"/>
      <c r="B36" s="10"/>
      <c r="C36" s="10"/>
      <c r="D36" s="10"/>
      <c r="E36" s="10"/>
    </row>
    <row r="37" ht="14.25" customHeight="1">
      <c r="A37" s="14" t="s">
        <v>56</v>
      </c>
      <c r="B37" s="69" t="s">
        <v>57</v>
      </c>
      <c r="C37" s="70" t="s">
        <v>41</v>
      </c>
      <c r="D37" s="70" t="s">
        <v>42</v>
      </c>
      <c r="E37" s="71" t="s">
        <v>43</v>
      </c>
    </row>
    <row r="38" ht="14.25" customHeight="1">
      <c r="A38" s="106"/>
      <c r="B38" s="16" t="s">
        <v>44</v>
      </c>
      <c r="C38" s="107"/>
      <c r="D38" s="107"/>
      <c r="E38" s="108"/>
    </row>
    <row r="39" ht="14.25" customHeight="1">
      <c r="A39" s="22">
        <v>1.0</v>
      </c>
      <c r="B39" s="23" t="s">
        <v>58</v>
      </c>
      <c r="C39" s="24">
        <v>0.25</v>
      </c>
      <c r="D39" s="22">
        <v>5.0</v>
      </c>
      <c r="E39" s="25">
        <f t="shared" ref="E39:E43" si="3">(D39*C39)</f>
        <v>1.25</v>
      </c>
    </row>
    <row r="40" ht="14.25" customHeight="1">
      <c r="A40" s="22">
        <v>2.0</v>
      </c>
      <c r="B40" s="23" t="s">
        <v>59</v>
      </c>
      <c r="C40" s="24">
        <v>0.25</v>
      </c>
      <c r="D40" s="22">
        <v>5.0</v>
      </c>
      <c r="E40" s="25">
        <f t="shared" si="3"/>
        <v>1.25</v>
      </c>
    </row>
    <row r="41" ht="14.25" customHeight="1">
      <c r="A41" s="22">
        <v>3.0</v>
      </c>
      <c r="B41" s="23" t="s">
        <v>60</v>
      </c>
      <c r="C41" s="24">
        <v>0.2</v>
      </c>
      <c r="D41" s="22">
        <v>5.0</v>
      </c>
      <c r="E41" s="25">
        <f t="shared" si="3"/>
        <v>1</v>
      </c>
    </row>
    <row r="42" ht="32.25" customHeight="1">
      <c r="A42" s="22">
        <v>4.0</v>
      </c>
      <c r="B42" s="23" t="s">
        <v>61</v>
      </c>
      <c r="C42" s="24">
        <v>0.1</v>
      </c>
      <c r="D42" s="22">
        <v>5.0</v>
      </c>
      <c r="E42" s="25">
        <f t="shared" si="3"/>
        <v>0.5</v>
      </c>
    </row>
    <row r="43" ht="39.0" customHeight="1">
      <c r="A43" s="22">
        <v>5.0</v>
      </c>
      <c r="B43" s="23" t="s">
        <v>62</v>
      </c>
      <c r="C43" s="24">
        <v>0.2</v>
      </c>
      <c r="D43" s="22">
        <v>5.0</v>
      </c>
      <c r="E43" s="25">
        <f t="shared" si="3"/>
        <v>1</v>
      </c>
    </row>
    <row r="44" ht="14.25" customHeight="1">
      <c r="A44" s="33"/>
      <c r="B44" s="87" t="s">
        <v>49</v>
      </c>
      <c r="C44" s="35">
        <f>SUM(C39:C43)</f>
        <v>1</v>
      </c>
      <c r="D44" s="88"/>
      <c r="E44" s="37">
        <f>SUM(E39:E43)</f>
        <v>5</v>
      </c>
    </row>
    <row r="45" ht="14.25" customHeight="1">
      <c r="A45" s="10"/>
      <c r="B45" s="10"/>
      <c r="C45" s="10"/>
      <c r="D45" s="10"/>
      <c r="E45" s="10"/>
    </row>
    <row r="46" ht="14.25" customHeight="1">
      <c r="A46" s="10"/>
      <c r="B46" s="91" t="s">
        <v>51</v>
      </c>
      <c r="C46" s="92"/>
      <c r="D46" s="92"/>
      <c r="E46" s="93"/>
    </row>
    <row r="47" ht="14.25" customHeight="1">
      <c r="A47" s="10"/>
      <c r="B47" s="109" t="s">
        <v>52</v>
      </c>
      <c r="C47" s="110" t="s">
        <v>53</v>
      </c>
      <c r="D47" s="111"/>
      <c r="E47" s="112"/>
    </row>
    <row r="48" ht="14.25" customHeight="1">
      <c r="A48" s="10"/>
      <c r="B48" s="113"/>
      <c r="C48" s="114"/>
      <c r="D48" s="115"/>
      <c r="E48" s="116"/>
    </row>
    <row r="49" ht="14.25" customHeight="1">
      <c r="A49" s="10"/>
      <c r="B49" s="102"/>
      <c r="C49" s="103"/>
      <c r="E49" s="52"/>
    </row>
    <row r="50" ht="14.25" customHeight="1">
      <c r="A50" s="10"/>
      <c r="B50" s="104"/>
      <c r="C50" s="105"/>
      <c r="D50" s="85"/>
      <c r="E50" s="86"/>
    </row>
    <row r="51" ht="14.25" customHeight="1">
      <c r="A51" s="10"/>
      <c r="B51" s="10"/>
      <c r="C51" s="10"/>
      <c r="D51" s="10"/>
      <c r="E51" s="10"/>
    </row>
    <row r="52" ht="14.25" customHeight="1">
      <c r="A52" s="117" t="s">
        <v>63</v>
      </c>
      <c r="B52" s="69" t="s">
        <v>64</v>
      </c>
      <c r="C52" s="118" t="s">
        <v>41</v>
      </c>
      <c r="D52" s="118" t="s">
        <v>42</v>
      </c>
      <c r="E52" s="119" t="s">
        <v>43</v>
      </c>
    </row>
    <row r="53" ht="14.25" customHeight="1">
      <c r="A53" s="120"/>
      <c r="B53" s="121" t="s">
        <v>44</v>
      </c>
      <c r="C53" s="122"/>
      <c r="D53" s="122"/>
      <c r="E53" s="123"/>
    </row>
    <row r="54" ht="14.25" customHeight="1">
      <c r="A54" s="22">
        <v>1.0</v>
      </c>
      <c r="B54" s="23" t="s">
        <v>65</v>
      </c>
      <c r="C54" s="124">
        <v>0.2</v>
      </c>
      <c r="D54" s="125">
        <v>5.0</v>
      </c>
      <c r="E54" s="126">
        <f t="shared" ref="E54:E58" si="4">(D54*C54)</f>
        <v>1</v>
      </c>
    </row>
    <row r="55" ht="14.25" customHeight="1">
      <c r="A55" s="22">
        <v>2.0</v>
      </c>
      <c r="B55" s="23" t="s">
        <v>66</v>
      </c>
      <c r="C55" s="124">
        <v>0.2</v>
      </c>
      <c r="D55" s="125">
        <v>5.0</v>
      </c>
      <c r="E55" s="126">
        <f t="shared" si="4"/>
        <v>1</v>
      </c>
    </row>
    <row r="56" ht="14.25" customHeight="1">
      <c r="A56" s="22">
        <v>3.0</v>
      </c>
      <c r="B56" s="23" t="s">
        <v>67</v>
      </c>
      <c r="C56" s="124">
        <v>0.2</v>
      </c>
      <c r="D56" s="125">
        <v>5.0</v>
      </c>
      <c r="E56" s="126">
        <f t="shared" si="4"/>
        <v>1</v>
      </c>
    </row>
    <row r="57" ht="14.25" customHeight="1">
      <c r="A57" s="22">
        <v>4.0</v>
      </c>
      <c r="B57" s="23" t="s">
        <v>68</v>
      </c>
      <c r="C57" s="124">
        <v>0.2</v>
      </c>
      <c r="D57" s="125">
        <v>5.0</v>
      </c>
      <c r="E57" s="126">
        <f t="shared" si="4"/>
        <v>1</v>
      </c>
    </row>
    <row r="58" ht="14.25" customHeight="1">
      <c r="A58" s="22">
        <v>5.0</v>
      </c>
      <c r="B58" s="23" t="s">
        <v>69</v>
      </c>
      <c r="C58" s="124">
        <v>0.2</v>
      </c>
      <c r="D58" s="125">
        <v>5.0</v>
      </c>
      <c r="E58" s="126">
        <f t="shared" si="4"/>
        <v>1</v>
      </c>
    </row>
    <row r="59" ht="14.25" customHeight="1">
      <c r="A59" s="33"/>
      <c r="B59" s="87" t="s">
        <v>49</v>
      </c>
      <c r="C59" s="35">
        <f>SUM(C54:C58)</f>
        <v>1</v>
      </c>
      <c r="D59" s="88"/>
      <c r="E59" s="37">
        <f>SUM(E54:E58)</f>
        <v>5</v>
      </c>
    </row>
    <row r="60" ht="14.25" customHeight="1">
      <c r="A60" s="127"/>
      <c r="B60" s="127"/>
      <c r="C60" s="127"/>
      <c r="D60" s="127"/>
      <c r="E60" s="127"/>
    </row>
    <row r="61" ht="14.25" customHeight="1">
      <c r="A61" s="127"/>
      <c r="B61" s="91" t="s">
        <v>51</v>
      </c>
      <c r="C61" s="92"/>
      <c r="D61" s="92"/>
      <c r="E61" s="93"/>
    </row>
    <row r="62" ht="14.25" customHeight="1">
      <c r="A62" s="127"/>
      <c r="B62" s="109" t="s">
        <v>52</v>
      </c>
      <c r="C62" s="110" t="s">
        <v>53</v>
      </c>
      <c r="D62" s="111"/>
      <c r="E62" s="112"/>
    </row>
    <row r="63" ht="14.25" customHeight="1">
      <c r="A63" s="127"/>
      <c r="B63" s="128"/>
      <c r="C63" s="129"/>
      <c r="D63" s="115"/>
      <c r="E63" s="116"/>
    </row>
    <row r="64" ht="14.25" customHeight="1">
      <c r="A64" s="127"/>
      <c r="B64" s="102"/>
      <c r="C64" s="103"/>
      <c r="E64" s="52"/>
    </row>
    <row r="65" ht="14.25" customHeight="1">
      <c r="A65" s="127"/>
      <c r="B65" s="104"/>
      <c r="C65" s="105"/>
      <c r="D65" s="85"/>
      <c r="E65" s="86"/>
    </row>
    <row r="66" ht="14.25" customHeight="1">
      <c r="A66" s="127"/>
      <c r="B66" s="130"/>
      <c r="C66" s="131"/>
      <c r="D66" s="131"/>
      <c r="E66" s="131"/>
    </row>
    <row r="67" ht="14.25" customHeight="1">
      <c r="A67" s="10"/>
      <c r="B67" s="10"/>
      <c r="C67" s="10"/>
      <c r="D67" s="10"/>
      <c r="E67" s="10"/>
    </row>
    <row r="68" ht="14.25" customHeight="1">
      <c r="A68" s="117" t="s">
        <v>70</v>
      </c>
      <c r="B68" s="132" t="s">
        <v>71</v>
      </c>
      <c r="C68" s="118" t="s">
        <v>41</v>
      </c>
      <c r="D68" s="118" t="s">
        <v>42</v>
      </c>
      <c r="E68" s="119" t="s">
        <v>43</v>
      </c>
    </row>
    <row r="69" ht="14.25" customHeight="1">
      <c r="A69" s="133"/>
      <c r="B69" s="134" t="s">
        <v>44</v>
      </c>
      <c r="C69" s="135"/>
      <c r="D69" s="135"/>
      <c r="E69" s="136"/>
    </row>
    <row r="70" ht="14.25" customHeight="1">
      <c r="A70" s="137">
        <v>1.0</v>
      </c>
      <c r="B70" s="138" t="s">
        <v>72</v>
      </c>
      <c r="C70" s="139">
        <v>0.15</v>
      </c>
      <c r="D70" s="140">
        <v>5.0</v>
      </c>
      <c r="E70" s="141">
        <f t="shared" ref="E70:E75" si="5">(D70*C70)</f>
        <v>0.75</v>
      </c>
    </row>
    <row r="71" ht="27.0" customHeight="1">
      <c r="A71" s="142">
        <v>2.0</v>
      </c>
      <c r="B71" s="143" t="s">
        <v>73</v>
      </c>
      <c r="C71" s="124">
        <v>0.2</v>
      </c>
      <c r="D71" s="125">
        <v>5.0</v>
      </c>
      <c r="E71" s="144">
        <f t="shared" si="5"/>
        <v>1</v>
      </c>
    </row>
    <row r="72" ht="28.5" customHeight="1">
      <c r="A72" s="145">
        <v>3.0</v>
      </c>
      <c r="B72" s="146" t="s">
        <v>74</v>
      </c>
      <c r="C72" s="147">
        <v>0.3</v>
      </c>
      <c r="D72" s="148">
        <v>5.0</v>
      </c>
      <c r="E72" s="149">
        <f t="shared" si="5"/>
        <v>1.5</v>
      </c>
    </row>
    <row r="73" ht="34.5" customHeight="1">
      <c r="A73" s="142">
        <v>4.0</v>
      </c>
      <c r="B73" s="143" t="s">
        <v>75</v>
      </c>
      <c r="C73" s="124">
        <v>0.1</v>
      </c>
      <c r="D73" s="125">
        <v>5.0</v>
      </c>
      <c r="E73" s="144">
        <f t="shared" si="5"/>
        <v>0.5</v>
      </c>
    </row>
    <row r="74" ht="14.25" customHeight="1">
      <c r="A74" s="142">
        <v>5.0</v>
      </c>
      <c r="B74" s="143" t="s">
        <v>76</v>
      </c>
      <c r="C74" s="124">
        <v>0.15</v>
      </c>
      <c r="D74" s="125">
        <v>5.0</v>
      </c>
      <c r="E74" s="144">
        <f t="shared" si="5"/>
        <v>0.75</v>
      </c>
    </row>
    <row r="75" ht="14.25" customHeight="1">
      <c r="A75" s="142">
        <v>6.0</v>
      </c>
      <c r="B75" s="143" t="s">
        <v>77</v>
      </c>
      <c r="C75" s="124">
        <v>0.1</v>
      </c>
      <c r="D75" s="125">
        <v>5.0</v>
      </c>
      <c r="E75" s="144">
        <f t="shared" si="5"/>
        <v>0.5</v>
      </c>
    </row>
    <row r="76" ht="14.25" customHeight="1">
      <c r="A76" s="33"/>
      <c r="B76" s="87" t="s">
        <v>49</v>
      </c>
      <c r="C76" s="35">
        <f>SUM(C70:C75)</f>
        <v>1</v>
      </c>
      <c r="D76" s="88"/>
      <c r="E76" s="37">
        <f>SUM(E70:E75)</f>
        <v>5</v>
      </c>
    </row>
    <row r="77" ht="14.25" customHeight="1">
      <c r="A77" s="150"/>
      <c r="B77" s="151"/>
      <c r="C77" s="152"/>
      <c r="D77" s="153"/>
      <c r="E77" s="154"/>
    </row>
    <row r="78" ht="14.25" customHeight="1">
      <c r="A78" s="127"/>
      <c r="B78" s="91" t="s">
        <v>51</v>
      </c>
      <c r="C78" s="92"/>
      <c r="D78" s="92"/>
      <c r="E78" s="93"/>
    </row>
    <row r="79" ht="14.25" customHeight="1">
      <c r="A79" s="127"/>
      <c r="B79" s="155" t="s">
        <v>52</v>
      </c>
      <c r="C79" s="156" t="s">
        <v>53</v>
      </c>
      <c r="D79" s="60"/>
      <c r="E79" s="61"/>
    </row>
    <row r="80" ht="14.25" customHeight="1">
      <c r="A80" s="127"/>
      <c r="B80" s="128"/>
      <c r="C80" s="129"/>
      <c r="D80" s="115"/>
      <c r="E80" s="116"/>
    </row>
    <row r="81" ht="14.25" customHeight="1">
      <c r="A81" s="127"/>
      <c r="B81" s="102"/>
      <c r="C81" s="103"/>
      <c r="E81" s="52"/>
    </row>
    <row r="82" ht="14.25" customHeight="1">
      <c r="A82" s="127"/>
      <c r="B82" s="104"/>
      <c r="C82" s="105"/>
      <c r="D82" s="85"/>
      <c r="E82" s="86"/>
    </row>
    <row r="83" ht="28.5" customHeight="1">
      <c r="A83" s="41"/>
      <c r="B83" s="42"/>
      <c r="C83" s="157"/>
      <c r="D83" s="41"/>
      <c r="E83" s="158"/>
    </row>
    <row r="84" ht="30.0" customHeight="1">
      <c r="A84" s="117" t="s">
        <v>78</v>
      </c>
      <c r="B84" s="159" t="s">
        <v>79</v>
      </c>
      <c r="C84" s="118" t="s">
        <v>41</v>
      </c>
      <c r="D84" s="118" t="s">
        <v>42</v>
      </c>
      <c r="E84" s="119" t="s">
        <v>43</v>
      </c>
    </row>
    <row r="85" ht="14.25" customHeight="1">
      <c r="A85" s="22">
        <v>1.0</v>
      </c>
      <c r="B85" s="143" t="s">
        <v>80</v>
      </c>
      <c r="C85" s="24">
        <v>0.05</v>
      </c>
      <c r="D85" s="22">
        <v>5.0</v>
      </c>
      <c r="E85" s="25">
        <f t="shared" ref="E85:E93" si="6">(D85*C85)</f>
        <v>0.25</v>
      </c>
    </row>
    <row r="86" ht="14.25" customHeight="1">
      <c r="A86" s="22">
        <v>2.0</v>
      </c>
      <c r="B86" s="143" t="s">
        <v>81</v>
      </c>
      <c r="C86" s="24">
        <v>0.15</v>
      </c>
      <c r="D86" s="22">
        <v>5.0</v>
      </c>
      <c r="E86" s="25">
        <f t="shared" si="6"/>
        <v>0.75</v>
      </c>
    </row>
    <row r="87" ht="14.25" customHeight="1">
      <c r="A87" s="22">
        <v>3.0</v>
      </c>
      <c r="B87" s="143" t="s">
        <v>82</v>
      </c>
      <c r="C87" s="24">
        <v>0.1</v>
      </c>
      <c r="D87" s="22">
        <v>5.0</v>
      </c>
      <c r="E87" s="25">
        <f t="shared" si="6"/>
        <v>0.5</v>
      </c>
    </row>
    <row r="88" ht="14.25" customHeight="1">
      <c r="A88" s="22">
        <v>4.0</v>
      </c>
      <c r="B88" s="143" t="s">
        <v>83</v>
      </c>
      <c r="C88" s="24">
        <v>0.1</v>
      </c>
      <c r="D88" s="22">
        <v>5.0</v>
      </c>
      <c r="E88" s="25">
        <f t="shared" si="6"/>
        <v>0.5</v>
      </c>
    </row>
    <row r="89" ht="14.25" customHeight="1">
      <c r="A89" s="22">
        <v>5.0</v>
      </c>
      <c r="B89" s="143" t="s">
        <v>84</v>
      </c>
      <c r="C89" s="24">
        <v>0.1</v>
      </c>
      <c r="D89" s="22">
        <v>5.0</v>
      </c>
      <c r="E89" s="25">
        <f t="shared" si="6"/>
        <v>0.5</v>
      </c>
    </row>
    <row r="90" ht="14.25" customHeight="1">
      <c r="A90" s="22">
        <v>6.0</v>
      </c>
      <c r="B90" s="143" t="s">
        <v>85</v>
      </c>
      <c r="C90" s="24">
        <v>0.1</v>
      </c>
      <c r="D90" s="22">
        <v>5.0</v>
      </c>
      <c r="E90" s="25">
        <f t="shared" si="6"/>
        <v>0.5</v>
      </c>
    </row>
    <row r="91" ht="14.25" customHeight="1">
      <c r="A91" s="22">
        <v>7.0</v>
      </c>
      <c r="B91" s="143" t="s">
        <v>86</v>
      </c>
      <c r="C91" s="24">
        <v>0.15</v>
      </c>
      <c r="D91" s="22">
        <v>5.0</v>
      </c>
      <c r="E91" s="25">
        <f t="shared" si="6"/>
        <v>0.75</v>
      </c>
    </row>
    <row r="92" ht="14.25" customHeight="1">
      <c r="A92" s="22">
        <v>8.0</v>
      </c>
      <c r="B92" s="143" t="s">
        <v>87</v>
      </c>
      <c r="C92" s="24">
        <v>0.15</v>
      </c>
      <c r="D92" s="22">
        <v>5.0</v>
      </c>
      <c r="E92" s="25">
        <f t="shared" si="6"/>
        <v>0.75</v>
      </c>
    </row>
    <row r="93" ht="14.25" customHeight="1">
      <c r="A93" s="22">
        <v>9.0</v>
      </c>
      <c r="B93" s="143" t="s">
        <v>88</v>
      </c>
      <c r="C93" s="24">
        <v>0.1</v>
      </c>
      <c r="D93" s="22">
        <v>5.0</v>
      </c>
      <c r="E93" s="25">
        <f t="shared" si="6"/>
        <v>0.5</v>
      </c>
    </row>
    <row r="94" ht="14.25" customHeight="1">
      <c r="A94" s="33"/>
      <c r="B94" s="87" t="s">
        <v>49</v>
      </c>
      <c r="C94" s="35">
        <f>SUM(C85:C93)</f>
        <v>1</v>
      </c>
      <c r="D94" s="88"/>
      <c r="E94" s="37">
        <f>SUM(E85:E93)</f>
        <v>5</v>
      </c>
    </row>
    <row r="95" ht="14.25" customHeight="1">
      <c r="A95" s="41"/>
      <c r="B95" s="160"/>
      <c r="C95" s="161"/>
      <c r="D95" s="162"/>
      <c r="E95" s="163"/>
    </row>
    <row r="96" ht="14.25" customHeight="1">
      <c r="A96" s="10"/>
      <c r="B96" s="91" t="s">
        <v>51</v>
      </c>
      <c r="C96" s="92"/>
      <c r="D96" s="92"/>
      <c r="E96" s="93"/>
    </row>
    <row r="97" ht="14.25" customHeight="1">
      <c r="A97" s="10"/>
      <c r="B97" s="155" t="s">
        <v>52</v>
      </c>
      <c r="C97" s="156" t="s">
        <v>53</v>
      </c>
      <c r="D97" s="60"/>
      <c r="E97" s="61"/>
    </row>
    <row r="98" ht="14.25" customHeight="1">
      <c r="A98" s="10"/>
      <c r="B98" s="113"/>
      <c r="C98" s="114"/>
      <c r="D98" s="115"/>
      <c r="E98" s="116"/>
    </row>
    <row r="99" ht="14.25" customHeight="1">
      <c r="A99" s="10"/>
      <c r="B99" s="102"/>
      <c r="C99" s="103"/>
      <c r="E99" s="52"/>
    </row>
    <row r="100" ht="14.25" customHeight="1">
      <c r="A100" s="10"/>
      <c r="B100" s="104"/>
      <c r="C100" s="105"/>
      <c r="D100" s="85"/>
      <c r="E100" s="86"/>
    </row>
    <row r="101" ht="14.25" customHeight="1">
      <c r="A101" s="10"/>
      <c r="B101" s="10"/>
      <c r="C101" s="10"/>
      <c r="D101" s="10"/>
      <c r="E101" s="10"/>
    </row>
    <row r="102" ht="14.25" customHeight="1">
      <c r="A102" s="117" t="s">
        <v>89</v>
      </c>
      <c r="B102" s="164" t="s">
        <v>90</v>
      </c>
      <c r="C102" s="118" t="s">
        <v>41</v>
      </c>
      <c r="D102" s="118" t="s">
        <v>42</v>
      </c>
      <c r="E102" s="119" t="s">
        <v>43</v>
      </c>
    </row>
    <row r="103" ht="14.25" customHeight="1">
      <c r="A103" s="133"/>
      <c r="B103" s="134" t="s">
        <v>44</v>
      </c>
      <c r="C103" s="135"/>
      <c r="D103" s="135"/>
      <c r="E103" s="136"/>
    </row>
    <row r="104" ht="14.25" customHeight="1">
      <c r="A104" s="76" t="s">
        <v>91</v>
      </c>
      <c r="B104" s="165" t="s">
        <v>92</v>
      </c>
      <c r="C104" s="78">
        <v>0.2</v>
      </c>
      <c r="D104" s="79">
        <v>5.0</v>
      </c>
      <c r="E104" s="80">
        <f t="shared" ref="E104:E106" si="7">(D104*C104)</f>
        <v>1</v>
      </c>
    </row>
    <row r="105" ht="14.25" customHeight="1">
      <c r="A105" s="81" t="s">
        <v>93</v>
      </c>
      <c r="B105" s="143" t="s">
        <v>94</v>
      </c>
      <c r="C105" s="24">
        <v>0.4</v>
      </c>
      <c r="D105" s="22">
        <v>5.0</v>
      </c>
      <c r="E105" s="83">
        <f t="shared" si="7"/>
        <v>2</v>
      </c>
    </row>
    <row r="106" ht="14.25" customHeight="1">
      <c r="A106" s="81" t="s">
        <v>95</v>
      </c>
      <c r="B106" s="143" t="s">
        <v>96</v>
      </c>
      <c r="C106" s="24">
        <v>0.4</v>
      </c>
      <c r="D106" s="22">
        <v>5.0</v>
      </c>
      <c r="E106" s="83">
        <f t="shared" si="7"/>
        <v>2</v>
      </c>
    </row>
    <row r="107" ht="14.25" customHeight="1">
      <c r="A107" s="72"/>
      <c r="B107" s="87" t="s">
        <v>49</v>
      </c>
      <c r="C107" s="166">
        <f>SUM(C104:C106)</f>
        <v>1</v>
      </c>
      <c r="D107" s="73" t="s">
        <v>50</v>
      </c>
      <c r="E107" s="167">
        <f>SUM(E104:E106)</f>
        <v>5</v>
      </c>
    </row>
    <row r="108" ht="14.25" customHeight="1">
      <c r="A108" s="10"/>
      <c r="B108" s="10"/>
      <c r="C108" s="10"/>
      <c r="D108" s="10"/>
      <c r="E108" s="10"/>
    </row>
    <row r="109" ht="14.25" customHeight="1">
      <c r="A109" s="10"/>
      <c r="B109" s="91" t="s">
        <v>51</v>
      </c>
      <c r="C109" s="92"/>
      <c r="D109" s="92"/>
      <c r="E109" s="93"/>
    </row>
    <row r="110" ht="14.25" customHeight="1">
      <c r="A110" s="10"/>
      <c r="B110" s="109" t="s">
        <v>52</v>
      </c>
      <c r="C110" s="110" t="s">
        <v>53</v>
      </c>
      <c r="D110" s="111"/>
      <c r="E110" s="112"/>
    </row>
    <row r="111" ht="14.25" customHeight="1">
      <c r="A111" s="10"/>
      <c r="B111" s="113"/>
      <c r="C111" s="114"/>
      <c r="D111" s="115"/>
      <c r="E111" s="116"/>
    </row>
    <row r="112" ht="14.25" customHeight="1">
      <c r="A112" s="10"/>
      <c r="B112" s="102"/>
      <c r="C112" s="103"/>
      <c r="E112" s="52"/>
    </row>
    <row r="113" ht="14.25" customHeight="1">
      <c r="A113" s="10"/>
      <c r="B113" s="104"/>
      <c r="C113" s="105"/>
      <c r="D113" s="85"/>
      <c r="E113" s="86"/>
    </row>
    <row r="114" ht="14.25" customHeight="1">
      <c r="A114" s="10"/>
      <c r="B114" s="168"/>
      <c r="C114" s="169"/>
      <c r="D114" s="169"/>
      <c r="E114" s="169"/>
    </row>
    <row r="115" ht="14.25" customHeight="1">
      <c r="A115" s="10"/>
      <c r="B115" s="20"/>
      <c r="C115" s="170"/>
      <c r="D115" s="170"/>
      <c r="E115" s="170"/>
    </row>
    <row r="116" ht="14.25" customHeight="1">
      <c r="A116" s="10"/>
      <c r="B116" s="42"/>
      <c r="C116" s="171"/>
      <c r="D116" s="171"/>
      <c r="E116" s="171"/>
    </row>
    <row r="117" ht="14.25" customHeight="1">
      <c r="A117" s="10"/>
      <c r="B117" s="42"/>
      <c r="C117" s="171"/>
      <c r="D117" s="171"/>
      <c r="E117" s="171"/>
    </row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A15:E15"/>
    <mergeCell ref="B16:E16"/>
    <mergeCell ref="A1:E1"/>
    <mergeCell ref="H1:L1"/>
    <mergeCell ref="A3:E3"/>
    <mergeCell ref="B5:D5"/>
    <mergeCell ref="H12:L26"/>
    <mergeCell ref="A13:E13"/>
    <mergeCell ref="C14:D14"/>
    <mergeCell ref="B19:E19"/>
    <mergeCell ref="B17:E17"/>
    <mergeCell ref="B18:E18"/>
    <mergeCell ref="B31:E31"/>
    <mergeCell ref="C32:E32"/>
    <mergeCell ref="B33:B35"/>
    <mergeCell ref="C33:E35"/>
    <mergeCell ref="B46:E46"/>
    <mergeCell ref="C47:E47"/>
    <mergeCell ref="B48:B50"/>
    <mergeCell ref="C48:E50"/>
    <mergeCell ref="B61:E61"/>
    <mergeCell ref="C62:E62"/>
    <mergeCell ref="B63:B65"/>
    <mergeCell ref="C63:E65"/>
    <mergeCell ref="C98:E100"/>
    <mergeCell ref="B109:E109"/>
    <mergeCell ref="C110:E110"/>
    <mergeCell ref="B111:B113"/>
    <mergeCell ref="C111:E113"/>
    <mergeCell ref="B78:E78"/>
    <mergeCell ref="C79:E79"/>
    <mergeCell ref="B80:B82"/>
    <mergeCell ref="C80:E82"/>
    <mergeCell ref="B96:E96"/>
    <mergeCell ref="C97:E97"/>
    <mergeCell ref="B98:B100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5.57"/>
    <col customWidth="1" min="3" max="8" width="10.71"/>
    <col customWidth="1" min="9" max="9" width="17.29"/>
    <col customWidth="1" min="10" max="26" width="10.71"/>
  </cols>
  <sheetData>
    <row r="1" ht="21.75" customHeight="1">
      <c r="A1" s="1" t="s">
        <v>0</v>
      </c>
      <c r="B1" s="2"/>
      <c r="C1" s="2"/>
      <c r="D1" s="2"/>
      <c r="E1" s="3"/>
      <c r="H1" s="4" t="s">
        <v>1</v>
      </c>
      <c r="I1" s="5"/>
      <c r="J1" s="5"/>
      <c r="K1" s="5"/>
      <c r="L1" s="6"/>
    </row>
    <row r="2" ht="14.25" customHeight="1">
      <c r="A2" s="7"/>
      <c r="B2" s="8"/>
      <c r="C2" s="8"/>
      <c r="D2" s="8"/>
      <c r="E2" s="9"/>
      <c r="H2" s="10"/>
      <c r="I2" s="10"/>
      <c r="J2" s="10"/>
      <c r="K2" s="11"/>
      <c r="L2" s="11"/>
    </row>
    <row r="3" ht="22.5" customHeight="1">
      <c r="A3" s="12" t="s">
        <v>2</v>
      </c>
      <c r="B3" s="5"/>
      <c r="C3" s="5"/>
      <c r="D3" s="5"/>
      <c r="E3" s="13"/>
      <c r="H3" s="14" t="s">
        <v>3</v>
      </c>
      <c r="I3" s="15" t="s">
        <v>4</v>
      </c>
      <c r="J3" s="16" t="s">
        <v>5</v>
      </c>
      <c r="K3" s="17" t="s">
        <v>6</v>
      </c>
      <c r="L3" s="18" t="s">
        <v>7</v>
      </c>
    </row>
    <row r="4" ht="14.25" customHeight="1">
      <c r="A4" s="19"/>
      <c r="B4" s="20"/>
      <c r="C4" s="20"/>
      <c r="D4" s="20"/>
      <c r="E4" s="21"/>
      <c r="H4" s="22">
        <v>1.0</v>
      </c>
      <c r="I4" s="23" t="s">
        <v>8</v>
      </c>
      <c r="J4" s="24">
        <v>0.2</v>
      </c>
      <c r="K4" s="25">
        <f>E29</f>
        <v>0</v>
      </c>
      <c r="L4" s="25">
        <f t="shared" ref="L4:L9" si="1">(K4*J4)</f>
        <v>0</v>
      </c>
    </row>
    <row r="5" ht="14.25" customHeight="1">
      <c r="A5" s="19"/>
      <c r="B5" s="26" t="s">
        <v>9</v>
      </c>
      <c r="C5" s="5"/>
      <c r="D5" s="6"/>
      <c r="E5" s="21"/>
      <c r="H5" s="22">
        <v>2.0</v>
      </c>
      <c r="I5" s="23" t="s">
        <v>10</v>
      </c>
      <c r="J5" s="24">
        <v>0.1</v>
      </c>
      <c r="K5" s="25">
        <f>E44</f>
        <v>0</v>
      </c>
      <c r="L5" s="25">
        <f t="shared" si="1"/>
        <v>0</v>
      </c>
    </row>
    <row r="6" ht="14.25" customHeight="1">
      <c r="A6" s="19"/>
      <c r="B6" s="27" t="s">
        <v>11</v>
      </c>
      <c r="C6" s="28" t="s">
        <v>12</v>
      </c>
      <c r="D6" s="29" t="s">
        <v>13</v>
      </c>
      <c r="E6" s="21"/>
      <c r="H6" s="22">
        <v>3.0</v>
      </c>
      <c r="I6" s="23" t="s">
        <v>14</v>
      </c>
      <c r="J6" s="24">
        <v>0.1</v>
      </c>
      <c r="K6" s="25">
        <f>E59</f>
        <v>0</v>
      </c>
      <c r="L6" s="25">
        <f t="shared" si="1"/>
        <v>0</v>
      </c>
    </row>
    <row r="7" ht="14.25" customHeight="1">
      <c r="A7" s="19"/>
      <c r="B7" s="30" t="s">
        <v>15</v>
      </c>
      <c r="C7" s="31" t="s">
        <v>16</v>
      </c>
      <c r="D7" s="32">
        <v>1.0</v>
      </c>
      <c r="E7" s="21"/>
      <c r="H7" s="22">
        <v>4.0</v>
      </c>
      <c r="I7" s="23" t="s">
        <v>17</v>
      </c>
      <c r="J7" s="24">
        <v>0.1</v>
      </c>
      <c r="K7" s="25">
        <f>E76</f>
        <v>0</v>
      </c>
      <c r="L7" s="25">
        <f t="shared" si="1"/>
        <v>0</v>
      </c>
    </row>
    <row r="8" ht="14.25" customHeight="1">
      <c r="A8" s="19"/>
      <c r="B8" s="30" t="s">
        <v>18</v>
      </c>
      <c r="C8" s="31" t="s">
        <v>19</v>
      </c>
      <c r="D8" s="32">
        <v>2.0</v>
      </c>
      <c r="E8" s="21"/>
      <c r="H8" s="22">
        <v>5.0</v>
      </c>
      <c r="I8" s="23" t="s">
        <v>20</v>
      </c>
      <c r="J8" s="24">
        <v>0.2</v>
      </c>
      <c r="K8" s="25">
        <f>E94</f>
        <v>0</v>
      </c>
      <c r="L8" s="25">
        <f t="shared" si="1"/>
        <v>0</v>
      </c>
    </row>
    <row r="9" ht="14.25" customHeight="1">
      <c r="A9" s="19"/>
      <c r="B9" s="30" t="s">
        <v>21</v>
      </c>
      <c r="C9" s="31" t="s">
        <v>22</v>
      </c>
      <c r="D9" s="32">
        <v>3.0</v>
      </c>
      <c r="E9" s="21"/>
      <c r="H9" s="22">
        <v>6.0</v>
      </c>
      <c r="I9" s="23" t="s">
        <v>23</v>
      </c>
      <c r="J9" s="24">
        <v>0.3</v>
      </c>
      <c r="K9" s="25">
        <f>E107</f>
        <v>0</v>
      </c>
      <c r="L9" s="25">
        <f t="shared" si="1"/>
        <v>0</v>
      </c>
    </row>
    <row r="10" ht="14.25" customHeight="1">
      <c r="A10" s="19"/>
      <c r="B10" s="30" t="s">
        <v>24</v>
      </c>
      <c r="C10" s="31" t="s">
        <v>25</v>
      </c>
      <c r="D10" s="32">
        <v>4.0</v>
      </c>
      <c r="E10" s="21"/>
      <c r="H10" s="33"/>
      <c r="I10" s="34" t="s">
        <v>26</v>
      </c>
      <c r="J10" s="35">
        <f>SUM(J4:J9)</f>
        <v>1</v>
      </c>
      <c r="K10" s="36"/>
      <c r="L10" s="37">
        <f>SUM(L7:L9)</f>
        <v>0</v>
      </c>
    </row>
    <row r="11" ht="14.25" customHeight="1">
      <c r="A11" s="19"/>
      <c r="B11" s="38" t="s">
        <v>27</v>
      </c>
      <c r="C11" s="39" t="s">
        <v>28</v>
      </c>
      <c r="D11" s="40">
        <v>5.0</v>
      </c>
      <c r="E11" s="21"/>
      <c r="H11" s="41"/>
      <c r="I11" s="42"/>
      <c r="J11" s="43"/>
      <c r="K11" s="44"/>
      <c r="L11" s="45"/>
    </row>
    <row r="12" ht="14.25" customHeight="1">
      <c r="A12" s="46"/>
      <c r="B12" s="42"/>
      <c r="C12" s="44"/>
      <c r="D12" s="44"/>
      <c r="E12" s="47"/>
      <c r="H12" s="48" t="s">
        <v>29</v>
      </c>
      <c r="I12" s="49"/>
      <c r="J12" s="49"/>
      <c r="K12" s="49"/>
      <c r="L12" s="50"/>
    </row>
    <row r="13" ht="14.25" customHeight="1">
      <c r="A13" s="51" t="s">
        <v>30</v>
      </c>
      <c r="E13" s="52"/>
      <c r="H13" s="53"/>
      <c r="L13" s="52"/>
    </row>
    <row r="14" ht="14.25" customHeight="1">
      <c r="A14" s="54"/>
      <c r="B14" s="55"/>
      <c r="C14" s="56"/>
      <c r="D14" s="57"/>
      <c r="E14" s="58"/>
      <c r="H14" s="53"/>
      <c r="L14" s="52"/>
    </row>
    <row r="15" ht="14.25" customHeight="1">
      <c r="A15" s="59" t="s">
        <v>31</v>
      </c>
      <c r="B15" s="60"/>
      <c r="C15" s="60"/>
      <c r="D15" s="60"/>
      <c r="E15" s="61"/>
      <c r="H15" s="53"/>
      <c r="L15" s="52"/>
    </row>
    <row r="16" ht="14.25" customHeight="1">
      <c r="A16" s="62" t="s">
        <v>32</v>
      </c>
      <c r="B16" s="63"/>
      <c r="C16" s="2"/>
      <c r="D16" s="2"/>
      <c r="E16" s="3"/>
      <c r="H16" s="53"/>
      <c r="L16" s="52"/>
    </row>
    <row r="17" ht="14.25" customHeight="1">
      <c r="A17" s="64" t="s">
        <v>34</v>
      </c>
      <c r="B17" s="172"/>
      <c r="C17" s="60"/>
      <c r="D17" s="60"/>
      <c r="E17" s="61"/>
      <c r="H17" s="53"/>
      <c r="L17" s="52"/>
    </row>
    <row r="18" ht="14.25" customHeight="1">
      <c r="A18" s="62" t="s">
        <v>36</v>
      </c>
      <c r="B18" s="173"/>
      <c r="C18" s="2"/>
      <c r="D18" s="2"/>
      <c r="E18" s="3"/>
      <c r="H18" s="53"/>
      <c r="L18" s="52"/>
    </row>
    <row r="19" ht="14.25" customHeight="1">
      <c r="A19" s="64" t="s">
        <v>38</v>
      </c>
      <c r="B19" s="67">
        <f>L10</f>
        <v>0</v>
      </c>
      <c r="C19" s="60"/>
      <c r="D19" s="60"/>
      <c r="E19" s="61"/>
      <c r="H19" s="53"/>
      <c r="L19" s="52"/>
    </row>
    <row r="20" ht="14.25" customHeight="1">
      <c r="A20" s="68"/>
      <c r="B20" s="68"/>
      <c r="C20" s="10"/>
      <c r="D20" s="10"/>
      <c r="E20" s="10"/>
      <c r="H20" s="53"/>
      <c r="L20" s="52"/>
    </row>
    <row r="21" ht="14.25" customHeight="1">
      <c r="A21" s="42"/>
      <c r="B21" s="42"/>
      <c r="C21" s="10"/>
      <c r="D21" s="10"/>
      <c r="E21" s="10"/>
      <c r="H21" s="53"/>
      <c r="L21" s="52"/>
    </row>
    <row r="22" ht="14.25" customHeight="1">
      <c r="A22" s="42"/>
      <c r="B22" s="42"/>
      <c r="C22" s="10"/>
      <c r="D22" s="10"/>
      <c r="E22" s="10"/>
      <c r="H22" s="53"/>
      <c r="L22" s="52"/>
    </row>
    <row r="23" ht="14.25" customHeight="1">
      <c r="A23" s="14" t="s">
        <v>39</v>
      </c>
      <c r="B23" s="69" t="s">
        <v>40</v>
      </c>
      <c r="C23" s="70" t="s">
        <v>41</v>
      </c>
      <c r="D23" s="70" t="s">
        <v>42</v>
      </c>
      <c r="E23" s="71" t="s">
        <v>43</v>
      </c>
      <c r="H23" s="53"/>
      <c r="L23" s="52"/>
    </row>
    <row r="24" ht="14.25" customHeight="1">
      <c r="A24" s="72"/>
      <c r="B24" s="73" t="s">
        <v>44</v>
      </c>
      <c r="C24" s="74"/>
      <c r="D24" s="74"/>
      <c r="E24" s="75"/>
      <c r="H24" s="53"/>
      <c r="L24" s="52"/>
    </row>
    <row r="25" ht="14.25" customHeight="1">
      <c r="A25" s="76">
        <v>1.0</v>
      </c>
      <c r="B25" s="77" t="s">
        <v>45</v>
      </c>
      <c r="C25" s="78">
        <v>0.2</v>
      </c>
      <c r="D25" s="79"/>
      <c r="E25" s="80">
        <f t="shared" ref="E25:E28" si="2">(D25*C25)</f>
        <v>0</v>
      </c>
      <c r="H25" s="53"/>
      <c r="L25" s="52"/>
    </row>
    <row r="26" ht="14.25" customHeight="1">
      <c r="A26" s="81">
        <v>2.0</v>
      </c>
      <c r="B26" s="82" t="s">
        <v>46</v>
      </c>
      <c r="C26" s="24">
        <v>0.3</v>
      </c>
      <c r="D26" s="22"/>
      <c r="E26" s="83">
        <f t="shared" si="2"/>
        <v>0</v>
      </c>
      <c r="H26" s="84"/>
      <c r="I26" s="85"/>
      <c r="J26" s="85"/>
      <c r="K26" s="85"/>
      <c r="L26" s="86"/>
    </row>
    <row r="27" ht="14.25" customHeight="1">
      <c r="A27" s="81">
        <v>3.0</v>
      </c>
      <c r="B27" s="82" t="s">
        <v>47</v>
      </c>
      <c r="C27" s="24">
        <v>0.2</v>
      </c>
      <c r="D27" s="22"/>
      <c r="E27" s="83">
        <f t="shared" si="2"/>
        <v>0</v>
      </c>
    </row>
    <row r="28" ht="14.25" customHeight="1">
      <c r="A28" s="81">
        <v>4.0</v>
      </c>
      <c r="B28" s="82" t="s">
        <v>48</v>
      </c>
      <c r="C28" s="24">
        <v>0.3</v>
      </c>
      <c r="D28" s="22"/>
      <c r="E28" s="83">
        <f t="shared" si="2"/>
        <v>0</v>
      </c>
    </row>
    <row r="29" ht="14.25" customHeight="1">
      <c r="A29" s="33"/>
      <c r="B29" s="87" t="s">
        <v>49</v>
      </c>
      <c r="C29" s="35">
        <f>SUM(C25:C28)</f>
        <v>1</v>
      </c>
      <c r="D29" s="88" t="s">
        <v>50</v>
      </c>
      <c r="E29" s="37">
        <f>SUM(E25:E28)</f>
        <v>0</v>
      </c>
    </row>
    <row r="30" ht="14.25" customHeight="1">
      <c r="A30" s="41"/>
      <c r="B30" s="68"/>
      <c r="C30" s="89"/>
      <c r="D30" s="44"/>
      <c r="E30" s="90"/>
    </row>
    <row r="31" ht="14.25" customHeight="1">
      <c r="A31" s="41"/>
      <c r="B31" s="91" t="s">
        <v>51</v>
      </c>
      <c r="C31" s="92"/>
      <c r="D31" s="92"/>
      <c r="E31" s="93"/>
    </row>
    <row r="32" ht="14.25" customHeight="1">
      <c r="A32" s="41"/>
      <c r="B32" s="94" t="s">
        <v>52</v>
      </c>
      <c r="C32" s="95" t="s">
        <v>53</v>
      </c>
      <c r="D32" s="96"/>
      <c r="E32" s="97"/>
    </row>
    <row r="33" ht="14.25" customHeight="1">
      <c r="A33" s="41"/>
      <c r="B33" s="98"/>
      <c r="C33" s="99"/>
      <c r="D33" s="100"/>
      <c r="E33" s="101"/>
    </row>
    <row r="34" ht="14.25" customHeight="1">
      <c r="A34" s="41"/>
      <c r="B34" s="102"/>
      <c r="C34" s="103"/>
      <c r="E34" s="52"/>
    </row>
    <row r="35" ht="14.25" customHeight="1">
      <c r="A35" s="10"/>
      <c r="B35" s="104"/>
      <c r="C35" s="105"/>
      <c r="D35" s="85"/>
      <c r="E35" s="86"/>
    </row>
    <row r="36" ht="14.25" customHeight="1">
      <c r="A36" s="10"/>
      <c r="B36" s="10"/>
      <c r="C36" s="10"/>
      <c r="D36" s="10"/>
      <c r="E36" s="10"/>
    </row>
    <row r="37" ht="14.25" customHeight="1">
      <c r="A37" s="14" t="s">
        <v>56</v>
      </c>
      <c r="B37" s="69" t="s">
        <v>57</v>
      </c>
      <c r="C37" s="70" t="s">
        <v>41</v>
      </c>
      <c r="D37" s="70" t="s">
        <v>42</v>
      </c>
      <c r="E37" s="71" t="s">
        <v>43</v>
      </c>
    </row>
    <row r="38" ht="14.25" customHeight="1">
      <c r="A38" s="106"/>
      <c r="B38" s="16" t="s">
        <v>44</v>
      </c>
      <c r="C38" s="107"/>
      <c r="D38" s="107"/>
      <c r="E38" s="108"/>
    </row>
    <row r="39" ht="14.25" customHeight="1">
      <c r="A39" s="22">
        <v>1.0</v>
      </c>
      <c r="B39" s="23" t="s">
        <v>58</v>
      </c>
      <c r="C39" s="24">
        <v>0.25</v>
      </c>
      <c r="D39" s="22"/>
      <c r="E39" s="25">
        <f t="shared" ref="E39:E43" si="3">(D39*C39)</f>
        <v>0</v>
      </c>
    </row>
    <row r="40" ht="14.25" customHeight="1">
      <c r="A40" s="22">
        <v>2.0</v>
      </c>
      <c r="B40" s="23" t="s">
        <v>59</v>
      </c>
      <c r="C40" s="24">
        <v>0.25</v>
      </c>
      <c r="D40" s="22"/>
      <c r="E40" s="25">
        <f t="shared" si="3"/>
        <v>0</v>
      </c>
    </row>
    <row r="41" ht="14.25" customHeight="1">
      <c r="A41" s="22">
        <v>3.0</v>
      </c>
      <c r="B41" s="23" t="s">
        <v>60</v>
      </c>
      <c r="C41" s="24">
        <v>0.2</v>
      </c>
      <c r="D41" s="22"/>
      <c r="E41" s="25">
        <f t="shared" si="3"/>
        <v>0</v>
      </c>
    </row>
    <row r="42" ht="14.25" customHeight="1">
      <c r="A42" s="22">
        <v>4.0</v>
      </c>
      <c r="B42" s="23" t="s">
        <v>61</v>
      </c>
      <c r="C42" s="24">
        <v>0.1</v>
      </c>
      <c r="D42" s="22"/>
      <c r="E42" s="25">
        <f t="shared" si="3"/>
        <v>0</v>
      </c>
    </row>
    <row r="43" ht="14.25" customHeight="1">
      <c r="A43" s="22">
        <v>5.0</v>
      </c>
      <c r="B43" s="23" t="s">
        <v>62</v>
      </c>
      <c r="C43" s="24">
        <v>0.2</v>
      </c>
      <c r="D43" s="22"/>
      <c r="E43" s="25">
        <f t="shared" si="3"/>
        <v>0</v>
      </c>
    </row>
    <row r="44" ht="14.25" customHeight="1">
      <c r="A44" s="33"/>
      <c r="B44" s="87" t="s">
        <v>49</v>
      </c>
      <c r="C44" s="35">
        <f>SUM(C39:C43)</f>
        <v>1</v>
      </c>
      <c r="D44" s="88"/>
      <c r="E44" s="37">
        <f>SUM(E39:E43)</f>
        <v>0</v>
      </c>
    </row>
    <row r="45" ht="14.25" customHeight="1">
      <c r="A45" s="10"/>
      <c r="B45" s="10"/>
      <c r="C45" s="10"/>
      <c r="D45" s="10"/>
      <c r="E45" s="10"/>
    </row>
    <row r="46" ht="14.25" customHeight="1">
      <c r="A46" s="10"/>
      <c r="B46" s="91" t="s">
        <v>51</v>
      </c>
      <c r="C46" s="92"/>
      <c r="D46" s="92"/>
      <c r="E46" s="93"/>
    </row>
    <row r="47" ht="14.25" customHeight="1">
      <c r="A47" s="10"/>
      <c r="B47" s="109" t="s">
        <v>52</v>
      </c>
      <c r="C47" s="110" t="s">
        <v>53</v>
      </c>
      <c r="D47" s="111"/>
      <c r="E47" s="112"/>
    </row>
    <row r="48" ht="14.25" customHeight="1">
      <c r="A48" s="10"/>
      <c r="B48" s="113"/>
      <c r="C48" s="114"/>
      <c r="D48" s="115"/>
      <c r="E48" s="116"/>
    </row>
    <row r="49" ht="14.25" customHeight="1">
      <c r="A49" s="10"/>
      <c r="B49" s="102"/>
      <c r="C49" s="103"/>
      <c r="E49" s="52"/>
    </row>
    <row r="50" ht="14.25" customHeight="1">
      <c r="A50" s="10"/>
      <c r="B50" s="104"/>
      <c r="C50" s="105"/>
      <c r="D50" s="85"/>
      <c r="E50" s="86"/>
    </row>
    <row r="51" ht="14.25" customHeight="1">
      <c r="A51" s="10"/>
      <c r="B51" s="10"/>
      <c r="C51" s="10"/>
      <c r="D51" s="10"/>
      <c r="E51" s="10"/>
    </row>
    <row r="52" ht="14.25" customHeight="1">
      <c r="A52" s="117" t="s">
        <v>63</v>
      </c>
      <c r="B52" s="69" t="s">
        <v>64</v>
      </c>
      <c r="C52" s="118" t="s">
        <v>41</v>
      </c>
      <c r="D52" s="118" t="s">
        <v>42</v>
      </c>
      <c r="E52" s="119" t="s">
        <v>43</v>
      </c>
    </row>
    <row r="53" ht="14.25" customHeight="1">
      <c r="A53" s="120"/>
      <c r="B53" s="121" t="s">
        <v>44</v>
      </c>
      <c r="C53" s="122"/>
      <c r="D53" s="122"/>
      <c r="E53" s="123"/>
    </row>
    <row r="54" ht="14.25" customHeight="1">
      <c r="A54" s="22">
        <v>1.0</v>
      </c>
      <c r="B54" s="23" t="s">
        <v>65</v>
      </c>
      <c r="C54" s="124">
        <v>0.2</v>
      </c>
      <c r="D54" s="125"/>
      <c r="E54" s="126">
        <f t="shared" ref="E54:E58" si="4">(D54*C54)</f>
        <v>0</v>
      </c>
    </row>
    <row r="55" ht="14.25" customHeight="1">
      <c r="A55" s="22">
        <v>2.0</v>
      </c>
      <c r="B55" s="23" t="s">
        <v>66</v>
      </c>
      <c r="C55" s="124">
        <v>0.2</v>
      </c>
      <c r="D55" s="125"/>
      <c r="E55" s="126">
        <f t="shared" si="4"/>
        <v>0</v>
      </c>
    </row>
    <row r="56" ht="14.25" customHeight="1">
      <c r="A56" s="22">
        <v>3.0</v>
      </c>
      <c r="B56" s="23" t="s">
        <v>67</v>
      </c>
      <c r="C56" s="124">
        <v>0.2</v>
      </c>
      <c r="D56" s="125"/>
      <c r="E56" s="126">
        <f t="shared" si="4"/>
        <v>0</v>
      </c>
    </row>
    <row r="57" ht="14.25" customHeight="1">
      <c r="A57" s="22">
        <v>4.0</v>
      </c>
      <c r="B57" s="23" t="s">
        <v>68</v>
      </c>
      <c r="C57" s="124">
        <v>0.2</v>
      </c>
      <c r="D57" s="125"/>
      <c r="E57" s="126">
        <f t="shared" si="4"/>
        <v>0</v>
      </c>
    </row>
    <row r="58" ht="14.25" customHeight="1">
      <c r="A58" s="22">
        <v>5.0</v>
      </c>
      <c r="B58" s="23" t="s">
        <v>69</v>
      </c>
      <c r="C58" s="124">
        <v>0.2</v>
      </c>
      <c r="D58" s="125"/>
      <c r="E58" s="126">
        <f t="shared" si="4"/>
        <v>0</v>
      </c>
    </row>
    <row r="59" ht="14.25" customHeight="1">
      <c r="A59" s="33"/>
      <c r="B59" s="87" t="s">
        <v>49</v>
      </c>
      <c r="C59" s="35">
        <f>SUM(C54:C58)</f>
        <v>1</v>
      </c>
      <c r="D59" s="88"/>
      <c r="E59" s="37">
        <f>SUM(E54:E58)</f>
        <v>0</v>
      </c>
    </row>
    <row r="60" ht="14.25" customHeight="1">
      <c r="A60" s="127"/>
      <c r="B60" s="127"/>
      <c r="C60" s="127"/>
      <c r="D60" s="127"/>
      <c r="E60" s="127"/>
    </row>
    <row r="61" ht="14.25" customHeight="1">
      <c r="A61" s="127"/>
      <c r="B61" s="91" t="s">
        <v>51</v>
      </c>
      <c r="C61" s="92"/>
      <c r="D61" s="92"/>
      <c r="E61" s="93"/>
    </row>
    <row r="62" ht="14.25" customHeight="1">
      <c r="A62" s="127"/>
      <c r="B62" s="109" t="s">
        <v>52</v>
      </c>
      <c r="C62" s="110" t="s">
        <v>53</v>
      </c>
      <c r="D62" s="111"/>
      <c r="E62" s="112"/>
    </row>
    <row r="63" ht="14.25" customHeight="1">
      <c r="A63" s="127"/>
      <c r="B63" s="128"/>
      <c r="C63" s="129"/>
      <c r="D63" s="115"/>
      <c r="E63" s="116"/>
    </row>
    <row r="64" ht="14.25" customHeight="1">
      <c r="A64" s="127"/>
      <c r="B64" s="102"/>
      <c r="C64" s="103"/>
      <c r="E64" s="52"/>
    </row>
    <row r="65" ht="14.25" customHeight="1">
      <c r="A65" s="127"/>
      <c r="B65" s="104"/>
      <c r="C65" s="105"/>
      <c r="D65" s="85"/>
      <c r="E65" s="86"/>
    </row>
    <row r="66" ht="14.25" customHeight="1">
      <c r="A66" s="127"/>
      <c r="B66" s="130"/>
      <c r="C66" s="131"/>
      <c r="D66" s="131"/>
      <c r="E66" s="131"/>
    </row>
    <row r="67" ht="14.25" customHeight="1">
      <c r="A67" s="10"/>
      <c r="B67" s="10"/>
      <c r="C67" s="10"/>
      <c r="D67" s="10"/>
      <c r="E67" s="10"/>
    </row>
    <row r="68" ht="14.25" customHeight="1">
      <c r="A68" s="117" t="s">
        <v>70</v>
      </c>
      <c r="B68" s="132" t="s">
        <v>71</v>
      </c>
      <c r="C68" s="118" t="s">
        <v>41</v>
      </c>
      <c r="D68" s="118" t="s">
        <v>42</v>
      </c>
      <c r="E68" s="119" t="s">
        <v>43</v>
      </c>
    </row>
    <row r="69" ht="14.25" customHeight="1">
      <c r="A69" s="133"/>
      <c r="B69" s="134" t="s">
        <v>44</v>
      </c>
      <c r="C69" s="135"/>
      <c r="D69" s="135"/>
      <c r="E69" s="136"/>
    </row>
    <row r="70" ht="14.25" customHeight="1">
      <c r="A70" s="137">
        <v>1.0</v>
      </c>
      <c r="B70" s="138" t="s">
        <v>72</v>
      </c>
      <c r="C70" s="139">
        <v>0.15</v>
      </c>
      <c r="D70" s="140"/>
      <c r="E70" s="141">
        <f t="shared" ref="E70:E75" si="5">(D70*C70)</f>
        <v>0</v>
      </c>
    </row>
    <row r="71" ht="14.25" customHeight="1">
      <c r="A71" s="142">
        <v>2.0</v>
      </c>
      <c r="B71" s="143" t="s">
        <v>73</v>
      </c>
      <c r="C71" s="124">
        <v>0.2</v>
      </c>
      <c r="D71" s="125"/>
      <c r="E71" s="144">
        <f t="shared" si="5"/>
        <v>0</v>
      </c>
    </row>
    <row r="72" ht="14.25" customHeight="1">
      <c r="A72" s="145">
        <v>3.0</v>
      </c>
      <c r="B72" s="146" t="s">
        <v>74</v>
      </c>
      <c r="C72" s="147">
        <v>0.3</v>
      </c>
      <c r="D72" s="148"/>
      <c r="E72" s="149">
        <f t="shared" si="5"/>
        <v>0</v>
      </c>
    </row>
    <row r="73" ht="14.25" customHeight="1">
      <c r="A73" s="142">
        <v>4.0</v>
      </c>
      <c r="B73" s="143" t="s">
        <v>75</v>
      </c>
      <c r="C73" s="124">
        <v>0.1</v>
      </c>
      <c r="D73" s="125"/>
      <c r="E73" s="144">
        <f t="shared" si="5"/>
        <v>0</v>
      </c>
    </row>
    <row r="74" ht="14.25" customHeight="1">
      <c r="A74" s="142">
        <v>5.0</v>
      </c>
      <c r="B74" s="143" t="s">
        <v>76</v>
      </c>
      <c r="C74" s="124">
        <v>0.15</v>
      </c>
      <c r="D74" s="125"/>
      <c r="E74" s="144">
        <f t="shared" si="5"/>
        <v>0</v>
      </c>
    </row>
    <row r="75" ht="14.25" customHeight="1">
      <c r="A75" s="142">
        <v>6.0</v>
      </c>
      <c r="B75" s="143" t="s">
        <v>77</v>
      </c>
      <c r="C75" s="124">
        <v>0.1</v>
      </c>
      <c r="D75" s="125"/>
      <c r="E75" s="144">
        <f t="shared" si="5"/>
        <v>0</v>
      </c>
    </row>
    <row r="76" ht="14.25" customHeight="1">
      <c r="A76" s="33"/>
      <c r="B76" s="87" t="s">
        <v>49</v>
      </c>
      <c r="C76" s="35">
        <f>SUM(C70:C75)</f>
        <v>1</v>
      </c>
      <c r="D76" s="88"/>
      <c r="E76" s="37">
        <f>SUM(E70:E75)</f>
        <v>0</v>
      </c>
    </row>
    <row r="77" ht="14.25" customHeight="1">
      <c r="A77" s="150"/>
      <c r="B77" s="151"/>
      <c r="C77" s="152"/>
      <c r="D77" s="153"/>
      <c r="E77" s="154"/>
    </row>
    <row r="78" ht="14.25" customHeight="1">
      <c r="A78" s="127"/>
      <c r="B78" s="91" t="s">
        <v>51</v>
      </c>
      <c r="C78" s="92"/>
      <c r="D78" s="92"/>
      <c r="E78" s="93"/>
    </row>
    <row r="79" ht="14.25" customHeight="1">
      <c r="A79" s="127"/>
      <c r="B79" s="155" t="s">
        <v>52</v>
      </c>
      <c r="C79" s="156" t="s">
        <v>53</v>
      </c>
      <c r="D79" s="60"/>
      <c r="E79" s="61"/>
    </row>
    <row r="80" ht="14.25" customHeight="1">
      <c r="A80" s="127"/>
      <c r="B80" s="128"/>
      <c r="C80" s="129"/>
      <c r="D80" s="115"/>
      <c r="E80" s="116"/>
    </row>
    <row r="81" ht="14.25" customHeight="1">
      <c r="A81" s="127"/>
      <c r="B81" s="102"/>
      <c r="C81" s="103"/>
      <c r="E81" s="52"/>
    </row>
    <row r="82" ht="14.25" customHeight="1">
      <c r="A82" s="127"/>
      <c r="B82" s="104"/>
      <c r="C82" s="105"/>
      <c r="D82" s="85"/>
      <c r="E82" s="86"/>
    </row>
    <row r="83" ht="28.5" customHeight="1">
      <c r="A83" s="41"/>
      <c r="B83" s="42"/>
      <c r="C83" s="157"/>
      <c r="D83" s="41"/>
      <c r="E83" s="158"/>
    </row>
    <row r="84" ht="30.0" customHeight="1">
      <c r="A84" s="117" t="s">
        <v>78</v>
      </c>
      <c r="B84" s="159" t="s">
        <v>79</v>
      </c>
      <c r="C84" s="118" t="s">
        <v>41</v>
      </c>
      <c r="D84" s="118" t="s">
        <v>42</v>
      </c>
      <c r="E84" s="119" t="s">
        <v>43</v>
      </c>
    </row>
    <row r="85" ht="14.25" customHeight="1">
      <c r="A85" s="22">
        <v>1.0</v>
      </c>
      <c r="B85" s="143" t="s">
        <v>80</v>
      </c>
      <c r="C85" s="24">
        <v>0.05</v>
      </c>
      <c r="D85" s="22"/>
      <c r="E85" s="25">
        <f t="shared" ref="E85:E93" si="6">(D85*C85)</f>
        <v>0</v>
      </c>
    </row>
    <row r="86" ht="14.25" customHeight="1">
      <c r="A86" s="22">
        <v>2.0</v>
      </c>
      <c r="B86" s="143" t="s">
        <v>81</v>
      </c>
      <c r="C86" s="24">
        <v>0.15</v>
      </c>
      <c r="D86" s="22"/>
      <c r="E86" s="25">
        <f t="shared" si="6"/>
        <v>0</v>
      </c>
    </row>
    <row r="87" ht="14.25" customHeight="1">
      <c r="A87" s="22">
        <v>3.0</v>
      </c>
      <c r="B87" s="143" t="s">
        <v>82</v>
      </c>
      <c r="C87" s="24">
        <v>0.1</v>
      </c>
      <c r="D87" s="22"/>
      <c r="E87" s="25">
        <f t="shared" si="6"/>
        <v>0</v>
      </c>
    </row>
    <row r="88" ht="14.25" customHeight="1">
      <c r="A88" s="22">
        <v>4.0</v>
      </c>
      <c r="B88" s="143" t="s">
        <v>83</v>
      </c>
      <c r="C88" s="24">
        <v>0.1</v>
      </c>
      <c r="D88" s="22"/>
      <c r="E88" s="25">
        <f t="shared" si="6"/>
        <v>0</v>
      </c>
    </row>
    <row r="89" ht="14.25" customHeight="1">
      <c r="A89" s="22">
        <v>5.0</v>
      </c>
      <c r="B89" s="143" t="s">
        <v>84</v>
      </c>
      <c r="C89" s="24">
        <v>0.1</v>
      </c>
      <c r="D89" s="22"/>
      <c r="E89" s="25">
        <f t="shared" si="6"/>
        <v>0</v>
      </c>
    </row>
    <row r="90" ht="14.25" customHeight="1">
      <c r="A90" s="22">
        <v>6.0</v>
      </c>
      <c r="B90" s="143" t="s">
        <v>85</v>
      </c>
      <c r="C90" s="24">
        <v>0.1</v>
      </c>
      <c r="D90" s="22"/>
      <c r="E90" s="25">
        <f t="shared" si="6"/>
        <v>0</v>
      </c>
    </row>
    <row r="91" ht="14.25" customHeight="1">
      <c r="A91" s="22">
        <v>7.0</v>
      </c>
      <c r="B91" s="143" t="s">
        <v>86</v>
      </c>
      <c r="C91" s="24">
        <v>0.15</v>
      </c>
      <c r="D91" s="22"/>
      <c r="E91" s="25">
        <f t="shared" si="6"/>
        <v>0</v>
      </c>
    </row>
    <row r="92" ht="14.25" customHeight="1">
      <c r="A92" s="22">
        <v>8.0</v>
      </c>
      <c r="B92" s="143" t="s">
        <v>87</v>
      </c>
      <c r="C92" s="24">
        <v>0.15</v>
      </c>
      <c r="D92" s="22"/>
      <c r="E92" s="25">
        <f t="shared" si="6"/>
        <v>0</v>
      </c>
    </row>
    <row r="93" ht="14.25" customHeight="1">
      <c r="A93" s="22">
        <v>9.0</v>
      </c>
      <c r="B93" s="143" t="s">
        <v>88</v>
      </c>
      <c r="C93" s="24">
        <v>0.1</v>
      </c>
      <c r="D93" s="22"/>
      <c r="E93" s="25">
        <f t="shared" si="6"/>
        <v>0</v>
      </c>
    </row>
    <row r="94" ht="14.25" customHeight="1">
      <c r="A94" s="33"/>
      <c r="B94" s="87" t="s">
        <v>49</v>
      </c>
      <c r="C94" s="35">
        <f>SUM(C85:C93)</f>
        <v>1</v>
      </c>
      <c r="D94" s="88"/>
      <c r="E94" s="37">
        <f>SUM(E85:E93)</f>
        <v>0</v>
      </c>
    </row>
    <row r="95" ht="14.25" customHeight="1">
      <c r="A95" s="41"/>
      <c r="B95" s="160"/>
      <c r="C95" s="161"/>
      <c r="D95" s="162"/>
      <c r="E95" s="163"/>
    </row>
    <row r="96" ht="14.25" customHeight="1">
      <c r="A96" s="10"/>
      <c r="B96" s="91" t="s">
        <v>51</v>
      </c>
      <c r="C96" s="92"/>
      <c r="D96" s="92"/>
      <c r="E96" s="93"/>
    </row>
    <row r="97" ht="14.25" customHeight="1">
      <c r="A97" s="10"/>
      <c r="B97" s="155" t="s">
        <v>52</v>
      </c>
      <c r="C97" s="156" t="s">
        <v>53</v>
      </c>
      <c r="D97" s="60"/>
      <c r="E97" s="61"/>
    </row>
    <row r="98" ht="14.25" customHeight="1">
      <c r="A98" s="10"/>
      <c r="B98" s="113"/>
      <c r="C98" s="114"/>
      <c r="D98" s="115"/>
      <c r="E98" s="116"/>
    </row>
    <row r="99" ht="14.25" customHeight="1">
      <c r="A99" s="10"/>
      <c r="B99" s="102"/>
      <c r="C99" s="103"/>
      <c r="E99" s="52"/>
    </row>
    <row r="100" ht="14.25" customHeight="1">
      <c r="A100" s="10"/>
      <c r="B100" s="104"/>
      <c r="C100" s="105"/>
      <c r="D100" s="85"/>
      <c r="E100" s="86"/>
    </row>
    <row r="101" ht="14.25" customHeight="1">
      <c r="A101" s="10"/>
      <c r="B101" s="10"/>
      <c r="C101" s="10"/>
      <c r="D101" s="10"/>
      <c r="E101" s="10"/>
    </row>
    <row r="102" ht="14.25" customHeight="1">
      <c r="A102" s="117" t="s">
        <v>89</v>
      </c>
      <c r="B102" s="164" t="s">
        <v>90</v>
      </c>
      <c r="C102" s="118" t="s">
        <v>41</v>
      </c>
      <c r="D102" s="118" t="s">
        <v>42</v>
      </c>
      <c r="E102" s="119" t="s">
        <v>43</v>
      </c>
    </row>
    <row r="103" ht="14.25" customHeight="1">
      <c r="A103" s="133"/>
      <c r="B103" s="134" t="s">
        <v>44</v>
      </c>
      <c r="C103" s="135"/>
      <c r="D103" s="135"/>
      <c r="E103" s="136"/>
    </row>
    <row r="104" ht="14.25" customHeight="1">
      <c r="A104" s="76" t="s">
        <v>91</v>
      </c>
      <c r="B104" s="165" t="s">
        <v>92</v>
      </c>
      <c r="C104" s="78">
        <v>0.2</v>
      </c>
      <c r="D104" s="79"/>
      <c r="E104" s="80">
        <f t="shared" ref="E104:E106" si="7">(D104*C104)</f>
        <v>0</v>
      </c>
    </row>
    <row r="105" ht="14.25" customHeight="1">
      <c r="A105" s="81" t="s">
        <v>93</v>
      </c>
      <c r="B105" s="143" t="s">
        <v>94</v>
      </c>
      <c r="C105" s="24">
        <v>0.4</v>
      </c>
      <c r="D105" s="22"/>
      <c r="E105" s="83">
        <f t="shared" si="7"/>
        <v>0</v>
      </c>
    </row>
    <row r="106" ht="14.25" customHeight="1">
      <c r="A106" s="81" t="s">
        <v>95</v>
      </c>
      <c r="B106" s="143" t="s">
        <v>96</v>
      </c>
      <c r="C106" s="24">
        <v>0.4</v>
      </c>
      <c r="D106" s="22"/>
      <c r="E106" s="83">
        <f t="shared" si="7"/>
        <v>0</v>
      </c>
    </row>
    <row r="107" ht="14.25" customHeight="1">
      <c r="A107" s="72"/>
      <c r="B107" s="87" t="s">
        <v>49</v>
      </c>
      <c r="C107" s="166">
        <f>SUM(C104:C106)</f>
        <v>1</v>
      </c>
      <c r="D107" s="73" t="s">
        <v>50</v>
      </c>
      <c r="E107" s="167">
        <f>SUM(E104:E106)</f>
        <v>0</v>
      </c>
    </row>
    <row r="108" ht="14.25" customHeight="1">
      <c r="A108" s="10"/>
      <c r="B108" s="10"/>
      <c r="C108" s="10"/>
      <c r="D108" s="10"/>
      <c r="E108" s="10"/>
    </row>
    <row r="109" ht="14.25" customHeight="1">
      <c r="A109" s="10"/>
      <c r="B109" s="91" t="s">
        <v>51</v>
      </c>
      <c r="C109" s="92"/>
      <c r="D109" s="92"/>
      <c r="E109" s="93"/>
    </row>
    <row r="110" ht="14.25" customHeight="1">
      <c r="A110" s="10"/>
      <c r="B110" s="109" t="s">
        <v>52</v>
      </c>
      <c r="C110" s="110" t="s">
        <v>53</v>
      </c>
      <c r="D110" s="111"/>
      <c r="E110" s="112"/>
    </row>
    <row r="111" ht="14.25" customHeight="1">
      <c r="A111" s="10"/>
      <c r="B111" s="113"/>
      <c r="C111" s="114"/>
      <c r="D111" s="115"/>
      <c r="E111" s="116"/>
    </row>
    <row r="112" ht="14.25" customHeight="1">
      <c r="A112" s="10"/>
      <c r="B112" s="102"/>
      <c r="C112" s="103"/>
      <c r="E112" s="52"/>
    </row>
    <row r="113" ht="14.25" customHeight="1">
      <c r="A113" s="10"/>
      <c r="B113" s="104"/>
      <c r="C113" s="105"/>
      <c r="D113" s="85"/>
      <c r="E113" s="86"/>
    </row>
    <row r="114" ht="14.25" customHeight="1">
      <c r="A114" s="10"/>
      <c r="B114" s="168"/>
      <c r="C114" s="169"/>
      <c r="D114" s="169"/>
      <c r="E114" s="169"/>
    </row>
    <row r="115" ht="14.25" customHeight="1">
      <c r="A115" s="10"/>
      <c r="B115" s="20"/>
      <c r="C115" s="170"/>
      <c r="D115" s="170"/>
      <c r="E115" s="170"/>
    </row>
    <row r="116" ht="14.25" customHeight="1">
      <c r="A116" s="10"/>
      <c r="B116" s="42"/>
      <c r="C116" s="171"/>
      <c r="D116" s="171"/>
      <c r="E116" s="171"/>
    </row>
    <row r="117" ht="14.25" customHeight="1">
      <c r="A117" s="10"/>
      <c r="B117" s="42"/>
      <c r="C117" s="171"/>
      <c r="D117" s="171"/>
      <c r="E117" s="171"/>
    </row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A15:E15"/>
    <mergeCell ref="B16:E16"/>
    <mergeCell ref="A1:E1"/>
    <mergeCell ref="H1:L1"/>
    <mergeCell ref="A3:E3"/>
    <mergeCell ref="B5:D5"/>
    <mergeCell ref="H12:L26"/>
    <mergeCell ref="A13:E13"/>
    <mergeCell ref="C14:D14"/>
    <mergeCell ref="B19:E19"/>
    <mergeCell ref="B17:E17"/>
    <mergeCell ref="B18:E18"/>
    <mergeCell ref="B31:E31"/>
    <mergeCell ref="C32:E32"/>
    <mergeCell ref="B33:B35"/>
    <mergeCell ref="C33:E35"/>
    <mergeCell ref="B46:E46"/>
    <mergeCell ref="C47:E47"/>
    <mergeCell ref="B48:B50"/>
    <mergeCell ref="C48:E50"/>
    <mergeCell ref="B61:E61"/>
    <mergeCell ref="C62:E62"/>
    <mergeCell ref="B63:B65"/>
    <mergeCell ref="C63:E65"/>
    <mergeCell ref="C98:E100"/>
    <mergeCell ref="B109:E109"/>
    <mergeCell ref="C110:E110"/>
    <mergeCell ref="B111:B113"/>
    <mergeCell ref="C111:E113"/>
    <mergeCell ref="B78:E78"/>
    <mergeCell ref="C79:E79"/>
    <mergeCell ref="B80:B82"/>
    <mergeCell ref="C80:E82"/>
    <mergeCell ref="B96:E96"/>
    <mergeCell ref="C97:E97"/>
    <mergeCell ref="B98:B100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5.57"/>
    <col customWidth="1" min="3" max="8" width="10.71"/>
    <col customWidth="1" min="9" max="9" width="17.29"/>
    <col customWidth="1" min="10" max="26" width="10.71"/>
  </cols>
  <sheetData>
    <row r="1" ht="21.75" customHeight="1">
      <c r="A1" s="1" t="s">
        <v>0</v>
      </c>
      <c r="B1" s="2"/>
      <c r="C1" s="2"/>
      <c r="D1" s="2"/>
      <c r="E1" s="3"/>
      <c r="H1" s="4" t="s">
        <v>1</v>
      </c>
      <c r="I1" s="5"/>
      <c r="J1" s="5"/>
      <c r="K1" s="5"/>
      <c r="L1" s="6"/>
    </row>
    <row r="2" ht="14.25" customHeight="1">
      <c r="A2" s="7"/>
      <c r="B2" s="8"/>
      <c r="C2" s="8"/>
      <c r="D2" s="8"/>
      <c r="E2" s="9"/>
      <c r="H2" s="10"/>
      <c r="I2" s="10"/>
      <c r="J2" s="10"/>
      <c r="K2" s="11"/>
      <c r="L2" s="11"/>
    </row>
    <row r="3" ht="22.5" customHeight="1">
      <c r="A3" s="12" t="s">
        <v>2</v>
      </c>
      <c r="B3" s="5"/>
      <c r="C3" s="5"/>
      <c r="D3" s="5"/>
      <c r="E3" s="13"/>
      <c r="H3" s="14" t="s">
        <v>3</v>
      </c>
      <c r="I3" s="15" t="s">
        <v>4</v>
      </c>
      <c r="J3" s="16" t="s">
        <v>5</v>
      </c>
      <c r="K3" s="17" t="s">
        <v>6</v>
      </c>
      <c r="L3" s="18" t="s">
        <v>7</v>
      </c>
    </row>
    <row r="4" ht="14.25" customHeight="1">
      <c r="A4" s="19"/>
      <c r="B4" s="20"/>
      <c r="C4" s="20"/>
      <c r="D4" s="20"/>
      <c r="E4" s="21"/>
      <c r="H4" s="22">
        <v>1.0</v>
      </c>
      <c r="I4" s="23" t="s">
        <v>8</v>
      </c>
      <c r="J4" s="24">
        <v>0.2</v>
      </c>
      <c r="K4" s="25">
        <f>E29</f>
        <v>5</v>
      </c>
      <c r="L4" s="25">
        <f t="shared" ref="L4:L9" si="1">(K4*J4)</f>
        <v>1</v>
      </c>
    </row>
    <row r="5" ht="14.25" customHeight="1">
      <c r="A5" s="19"/>
      <c r="B5" s="26" t="s">
        <v>9</v>
      </c>
      <c r="C5" s="5"/>
      <c r="D5" s="6"/>
      <c r="E5" s="21"/>
      <c r="H5" s="22">
        <v>2.0</v>
      </c>
      <c r="I5" s="23" t="s">
        <v>10</v>
      </c>
      <c r="J5" s="24">
        <v>0.1</v>
      </c>
      <c r="K5" s="25">
        <f>E44</f>
        <v>3.5</v>
      </c>
      <c r="L5" s="25">
        <f t="shared" si="1"/>
        <v>0.35</v>
      </c>
    </row>
    <row r="6" ht="14.25" customHeight="1">
      <c r="A6" s="19"/>
      <c r="B6" s="27" t="s">
        <v>11</v>
      </c>
      <c r="C6" s="28" t="s">
        <v>12</v>
      </c>
      <c r="D6" s="29" t="s">
        <v>13</v>
      </c>
      <c r="E6" s="21"/>
      <c r="H6" s="22">
        <v>3.0</v>
      </c>
      <c r="I6" s="23" t="s">
        <v>14</v>
      </c>
      <c r="J6" s="24">
        <v>0.1</v>
      </c>
      <c r="K6" s="25">
        <f>E60</f>
        <v>5</v>
      </c>
      <c r="L6" s="25">
        <f t="shared" si="1"/>
        <v>0.5</v>
      </c>
    </row>
    <row r="7" ht="14.25" customHeight="1">
      <c r="A7" s="19"/>
      <c r="B7" s="30" t="s">
        <v>15</v>
      </c>
      <c r="C7" s="31" t="s">
        <v>16</v>
      </c>
      <c r="D7" s="174">
        <v>1.0</v>
      </c>
      <c r="E7" s="21"/>
      <c r="H7" s="22">
        <v>4.0</v>
      </c>
      <c r="I7" s="23" t="s">
        <v>17</v>
      </c>
      <c r="J7" s="24">
        <v>0.1</v>
      </c>
      <c r="K7" s="25">
        <f>E77</f>
        <v>2.3</v>
      </c>
      <c r="L7" s="25">
        <f t="shared" si="1"/>
        <v>0.23</v>
      </c>
    </row>
    <row r="8" ht="14.25" customHeight="1">
      <c r="A8" s="19"/>
      <c r="B8" s="30" t="s">
        <v>18</v>
      </c>
      <c r="C8" s="31" t="s">
        <v>19</v>
      </c>
      <c r="D8" s="32">
        <v>2.0</v>
      </c>
      <c r="E8" s="21"/>
      <c r="H8" s="22">
        <v>5.0</v>
      </c>
      <c r="I8" s="23" t="s">
        <v>20</v>
      </c>
      <c r="J8" s="24">
        <v>0.2</v>
      </c>
      <c r="K8" s="25">
        <f>E95</f>
        <v>5</v>
      </c>
      <c r="L8" s="25">
        <f t="shared" si="1"/>
        <v>1</v>
      </c>
    </row>
    <row r="9" ht="14.25" customHeight="1">
      <c r="A9" s="19"/>
      <c r="B9" s="30" t="s">
        <v>21</v>
      </c>
      <c r="C9" s="31" t="s">
        <v>22</v>
      </c>
      <c r="D9" s="32">
        <v>3.0</v>
      </c>
      <c r="E9" s="21"/>
      <c r="H9" s="22">
        <v>6.0</v>
      </c>
      <c r="I9" s="23" t="s">
        <v>23</v>
      </c>
      <c r="J9" s="24">
        <v>0.3</v>
      </c>
      <c r="K9" s="25">
        <f>E108</f>
        <v>5</v>
      </c>
      <c r="L9" s="25">
        <f t="shared" si="1"/>
        <v>1.5</v>
      </c>
    </row>
    <row r="10" ht="14.25" customHeight="1">
      <c r="A10" s="19"/>
      <c r="B10" s="30" t="s">
        <v>24</v>
      </c>
      <c r="C10" s="31" t="s">
        <v>25</v>
      </c>
      <c r="D10" s="32">
        <v>4.0</v>
      </c>
      <c r="E10" s="21"/>
      <c r="H10" s="33"/>
      <c r="I10" s="34" t="s">
        <v>26</v>
      </c>
      <c r="J10" s="35">
        <f>SUM(J4:J9)</f>
        <v>1</v>
      </c>
      <c r="K10" s="36"/>
      <c r="L10" s="37">
        <f>SUM(L4:L9)</f>
        <v>4.58</v>
      </c>
    </row>
    <row r="11" ht="14.25" customHeight="1">
      <c r="A11" s="19"/>
      <c r="B11" s="38" t="s">
        <v>27</v>
      </c>
      <c r="C11" s="39" t="s">
        <v>28</v>
      </c>
      <c r="D11" s="40">
        <v>5.0</v>
      </c>
      <c r="E11" s="21"/>
      <c r="H11" s="41"/>
      <c r="I11" s="42"/>
      <c r="J11" s="43"/>
      <c r="K11" s="44"/>
      <c r="L11" s="45"/>
    </row>
    <row r="12" ht="14.25" customHeight="1">
      <c r="A12" s="46"/>
      <c r="B12" s="42"/>
      <c r="C12" s="44"/>
      <c r="D12" s="44"/>
      <c r="E12" s="47"/>
      <c r="H12" s="48" t="s">
        <v>29</v>
      </c>
      <c r="I12" s="49"/>
      <c r="J12" s="49"/>
      <c r="K12" s="49"/>
      <c r="L12" s="50"/>
    </row>
    <row r="13" ht="14.25" customHeight="1">
      <c r="A13" s="51" t="s">
        <v>30</v>
      </c>
      <c r="E13" s="52"/>
      <c r="H13" s="53"/>
      <c r="L13" s="52"/>
    </row>
    <row r="14" ht="14.25" customHeight="1">
      <c r="A14" s="54"/>
      <c r="B14" s="55"/>
      <c r="C14" s="56"/>
      <c r="D14" s="57"/>
      <c r="E14" s="58"/>
      <c r="H14" s="53"/>
      <c r="L14" s="52"/>
    </row>
    <row r="15" ht="14.25" customHeight="1">
      <c r="A15" s="59" t="s">
        <v>31</v>
      </c>
      <c r="B15" s="60"/>
      <c r="C15" s="60"/>
      <c r="D15" s="60"/>
      <c r="E15" s="61"/>
      <c r="H15" s="53"/>
      <c r="L15" s="52"/>
    </row>
    <row r="16" ht="14.25" customHeight="1">
      <c r="A16" s="173" t="s">
        <v>32</v>
      </c>
      <c r="B16" s="175" t="s">
        <v>97</v>
      </c>
      <c r="C16" s="60"/>
      <c r="D16" s="60"/>
      <c r="E16" s="61"/>
      <c r="H16" s="53"/>
      <c r="L16" s="52"/>
    </row>
    <row r="17" ht="14.25" customHeight="1">
      <c r="A17" s="64" t="s">
        <v>34</v>
      </c>
      <c r="B17" s="176" t="s">
        <v>98</v>
      </c>
      <c r="C17" s="60"/>
      <c r="D17" s="60"/>
      <c r="E17" s="61"/>
      <c r="H17" s="53"/>
      <c r="L17" s="52"/>
    </row>
    <row r="18" ht="14.25" customHeight="1">
      <c r="A18" s="62" t="s">
        <v>36</v>
      </c>
      <c r="B18" s="177" t="s">
        <v>99</v>
      </c>
      <c r="C18" s="49"/>
      <c r="D18" s="49"/>
      <c r="E18" s="50"/>
      <c r="H18" s="53"/>
      <c r="L18" s="52"/>
    </row>
    <row r="19" ht="14.25" customHeight="1">
      <c r="A19" s="64" t="s">
        <v>38</v>
      </c>
      <c r="B19" s="67">
        <f>L10</f>
        <v>4.58</v>
      </c>
      <c r="C19" s="60"/>
      <c r="D19" s="60"/>
      <c r="E19" s="61"/>
      <c r="H19" s="53"/>
      <c r="L19" s="52"/>
    </row>
    <row r="20" ht="14.25" customHeight="1">
      <c r="A20" s="68"/>
      <c r="B20" s="178"/>
      <c r="C20" s="179"/>
      <c r="D20" s="179"/>
      <c r="E20" s="179"/>
      <c r="H20" s="53"/>
      <c r="L20" s="52"/>
    </row>
    <row r="21" ht="14.25" customHeight="1">
      <c r="A21" s="42"/>
      <c r="B21" s="42"/>
      <c r="C21" s="10"/>
      <c r="D21" s="10"/>
      <c r="E21" s="10"/>
      <c r="H21" s="53"/>
      <c r="L21" s="52"/>
    </row>
    <row r="22" ht="14.25" customHeight="1">
      <c r="A22" s="42"/>
      <c r="B22" s="42"/>
      <c r="C22" s="10"/>
      <c r="D22" s="10"/>
      <c r="E22" s="10"/>
      <c r="H22" s="53"/>
      <c r="L22" s="52"/>
    </row>
    <row r="23" ht="14.25" customHeight="1">
      <c r="A23" s="14" t="s">
        <v>39</v>
      </c>
      <c r="B23" s="69" t="s">
        <v>40</v>
      </c>
      <c r="C23" s="70" t="s">
        <v>41</v>
      </c>
      <c r="D23" s="70" t="s">
        <v>42</v>
      </c>
      <c r="E23" s="71" t="s">
        <v>43</v>
      </c>
      <c r="H23" s="53"/>
      <c r="L23" s="52"/>
    </row>
    <row r="24" ht="14.25" customHeight="1">
      <c r="A24" s="72"/>
      <c r="B24" s="73" t="s">
        <v>44</v>
      </c>
      <c r="C24" s="74"/>
      <c r="D24" s="74"/>
      <c r="E24" s="75"/>
      <c r="H24" s="53"/>
      <c r="L24" s="52"/>
    </row>
    <row r="25" ht="14.25" customHeight="1">
      <c r="A25" s="76">
        <v>1.0</v>
      </c>
      <c r="B25" s="77" t="s">
        <v>45</v>
      </c>
      <c r="C25" s="78">
        <v>0.2</v>
      </c>
      <c r="D25" s="180">
        <v>5.0</v>
      </c>
      <c r="E25" s="80">
        <f t="shared" ref="E25:E28" si="2">(D25*C25)</f>
        <v>1</v>
      </c>
      <c r="H25" s="53"/>
      <c r="L25" s="52"/>
    </row>
    <row r="26" ht="14.25" customHeight="1">
      <c r="A26" s="81">
        <v>2.0</v>
      </c>
      <c r="B26" s="82" t="s">
        <v>46</v>
      </c>
      <c r="C26" s="24">
        <v>0.3</v>
      </c>
      <c r="D26" s="181">
        <v>5.0</v>
      </c>
      <c r="E26" s="83">
        <f t="shared" si="2"/>
        <v>1.5</v>
      </c>
      <c r="H26" s="84"/>
      <c r="I26" s="85"/>
      <c r="J26" s="85"/>
      <c r="K26" s="85"/>
      <c r="L26" s="86"/>
    </row>
    <row r="27" ht="14.25" customHeight="1">
      <c r="A27" s="81">
        <v>3.0</v>
      </c>
      <c r="B27" s="82" t="s">
        <v>47</v>
      </c>
      <c r="C27" s="24">
        <v>0.2</v>
      </c>
      <c r="D27" s="181">
        <v>5.0</v>
      </c>
      <c r="E27" s="83">
        <f t="shared" si="2"/>
        <v>1</v>
      </c>
    </row>
    <row r="28" ht="14.25" customHeight="1">
      <c r="A28" s="81">
        <v>4.0</v>
      </c>
      <c r="B28" s="82" t="s">
        <v>48</v>
      </c>
      <c r="C28" s="24">
        <v>0.3</v>
      </c>
      <c r="D28" s="181">
        <v>5.0</v>
      </c>
      <c r="E28" s="83">
        <f t="shared" si="2"/>
        <v>1.5</v>
      </c>
    </row>
    <row r="29" ht="14.25" customHeight="1">
      <c r="A29" s="33"/>
      <c r="B29" s="87" t="s">
        <v>49</v>
      </c>
      <c r="C29" s="35">
        <f>SUM(C25:C28)</f>
        <v>1</v>
      </c>
      <c r="D29" s="88" t="s">
        <v>50</v>
      </c>
      <c r="E29" s="37">
        <f>SUM(E25:E28)</f>
        <v>5</v>
      </c>
    </row>
    <row r="30" ht="14.25" customHeight="1">
      <c r="A30" s="41"/>
      <c r="B30" s="68"/>
      <c r="C30" s="89"/>
      <c r="D30" s="44"/>
      <c r="E30" s="90"/>
    </row>
    <row r="31" ht="14.25" customHeight="1">
      <c r="A31" s="41"/>
      <c r="B31" s="91" t="s">
        <v>51</v>
      </c>
      <c r="C31" s="92"/>
      <c r="D31" s="92"/>
      <c r="E31" s="93"/>
    </row>
    <row r="32" ht="14.25" customHeight="1">
      <c r="A32" s="41"/>
      <c r="B32" s="94" t="s">
        <v>52</v>
      </c>
      <c r="C32" s="95" t="s">
        <v>53</v>
      </c>
      <c r="D32" s="96"/>
      <c r="E32" s="97"/>
    </row>
    <row r="33" ht="14.25" customHeight="1">
      <c r="A33" s="41"/>
      <c r="B33" s="182" t="s">
        <v>100</v>
      </c>
      <c r="C33" s="99"/>
      <c r="D33" s="100"/>
      <c r="E33" s="101"/>
    </row>
    <row r="34" ht="14.25" customHeight="1">
      <c r="A34" s="41"/>
      <c r="B34" s="102"/>
      <c r="C34" s="103"/>
      <c r="E34" s="52"/>
    </row>
    <row r="35" ht="14.25" customHeight="1">
      <c r="A35" s="10"/>
      <c r="B35" s="104"/>
      <c r="C35" s="105"/>
      <c r="D35" s="85"/>
      <c r="E35" s="86"/>
    </row>
    <row r="36" ht="14.25" customHeight="1">
      <c r="A36" s="10"/>
      <c r="B36" s="10"/>
      <c r="C36" s="10"/>
      <c r="D36" s="10"/>
      <c r="E36" s="10"/>
    </row>
    <row r="37" ht="14.25" customHeight="1">
      <c r="A37" s="14" t="s">
        <v>56</v>
      </c>
      <c r="B37" s="69" t="s">
        <v>57</v>
      </c>
      <c r="C37" s="70" t="s">
        <v>41</v>
      </c>
      <c r="D37" s="70" t="s">
        <v>42</v>
      </c>
      <c r="E37" s="71" t="s">
        <v>43</v>
      </c>
    </row>
    <row r="38" ht="14.25" customHeight="1">
      <c r="A38" s="106"/>
      <c r="B38" s="16" t="s">
        <v>44</v>
      </c>
      <c r="C38" s="107"/>
      <c r="D38" s="107"/>
      <c r="E38" s="108"/>
    </row>
    <row r="39" ht="14.25" customHeight="1">
      <c r="A39" s="22">
        <v>1.0</v>
      </c>
      <c r="B39" s="23" t="s">
        <v>58</v>
      </c>
      <c r="C39" s="24">
        <v>0.25</v>
      </c>
      <c r="D39" s="181">
        <v>5.0</v>
      </c>
      <c r="E39" s="25">
        <f t="shared" ref="E39:E43" si="3">(D39*C39)</f>
        <v>1.25</v>
      </c>
    </row>
    <row r="40" ht="14.25" customHeight="1">
      <c r="A40" s="22">
        <v>2.0</v>
      </c>
      <c r="B40" s="23" t="s">
        <v>59</v>
      </c>
      <c r="C40" s="24">
        <v>0.25</v>
      </c>
      <c r="D40" s="181">
        <v>5.0</v>
      </c>
      <c r="E40" s="25">
        <f t="shared" si="3"/>
        <v>1.25</v>
      </c>
    </row>
    <row r="41" ht="14.25" customHeight="1">
      <c r="A41" s="22">
        <v>3.0</v>
      </c>
      <c r="B41" s="23" t="s">
        <v>60</v>
      </c>
      <c r="C41" s="24">
        <v>0.2</v>
      </c>
      <c r="D41" s="181">
        <v>2.0</v>
      </c>
      <c r="E41" s="25">
        <f t="shared" si="3"/>
        <v>0.4</v>
      </c>
    </row>
    <row r="42" ht="14.25" customHeight="1">
      <c r="A42" s="22">
        <v>4.0</v>
      </c>
      <c r="B42" s="23" t="s">
        <v>61</v>
      </c>
      <c r="C42" s="24">
        <v>0.1</v>
      </c>
      <c r="D42" s="181">
        <v>4.0</v>
      </c>
      <c r="E42" s="25">
        <f t="shared" si="3"/>
        <v>0.4</v>
      </c>
    </row>
    <row r="43" ht="14.25" customHeight="1">
      <c r="A43" s="22">
        <v>5.0</v>
      </c>
      <c r="B43" s="23" t="s">
        <v>62</v>
      </c>
      <c r="C43" s="24">
        <v>0.2</v>
      </c>
      <c r="D43" s="181">
        <v>1.0</v>
      </c>
      <c r="E43" s="25">
        <f t="shared" si="3"/>
        <v>0.2</v>
      </c>
    </row>
    <row r="44" ht="14.25" customHeight="1">
      <c r="A44" s="33"/>
      <c r="B44" s="87" t="s">
        <v>49</v>
      </c>
      <c r="C44" s="35">
        <f>SUM(C39:C43)</f>
        <v>1</v>
      </c>
      <c r="D44" s="88"/>
      <c r="E44" s="37">
        <f>SUM(E39:E43)</f>
        <v>3.5</v>
      </c>
    </row>
    <row r="45" ht="14.25" customHeight="1">
      <c r="A45" s="10"/>
      <c r="B45" s="10"/>
      <c r="C45" s="10"/>
      <c r="D45" s="10"/>
      <c r="E45" s="10"/>
    </row>
    <row r="46" ht="14.25" customHeight="1">
      <c r="A46" s="10"/>
      <c r="B46" s="91" t="s">
        <v>51</v>
      </c>
      <c r="C46" s="92"/>
      <c r="D46" s="92"/>
      <c r="E46" s="93"/>
    </row>
    <row r="47" ht="14.25" customHeight="1">
      <c r="A47" s="10"/>
      <c r="B47" s="109" t="s">
        <v>52</v>
      </c>
      <c r="C47" s="110" t="s">
        <v>53</v>
      </c>
      <c r="D47" s="111"/>
      <c r="E47" s="112"/>
    </row>
    <row r="48" ht="14.25" customHeight="1">
      <c r="A48" s="10"/>
      <c r="B48" s="183" t="s">
        <v>101</v>
      </c>
      <c r="C48" s="184" t="s">
        <v>102</v>
      </c>
      <c r="D48" s="115"/>
      <c r="E48" s="116"/>
    </row>
    <row r="49" ht="14.25" customHeight="1">
      <c r="A49" s="10"/>
      <c r="B49" s="102"/>
      <c r="C49" s="103"/>
      <c r="E49" s="52"/>
    </row>
    <row r="50" ht="14.25" customHeight="1">
      <c r="A50" s="10"/>
      <c r="B50" s="102"/>
      <c r="C50" s="103"/>
      <c r="E50" s="52"/>
    </row>
    <row r="51" ht="14.25" customHeight="1">
      <c r="A51" s="10"/>
      <c r="B51" s="104"/>
      <c r="C51" s="105"/>
      <c r="D51" s="85"/>
      <c r="E51" s="86"/>
    </row>
    <row r="52" ht="14.25" customHeight="1">
      <c r="A52" s="10"/>
      <c r="B52" s="10"/>
      <c r="C52" s="10"/>
      <c r="D52" s="10"/>
      <c r="E52" s="10"/>
    </row>
    <row r="53" ht="14.25" customHeight="1">
      <c r="A53" s="117" t="s">
        <v>63</v>
      </c>
      <c r="B53" s="69" t="s">
        <v>64</v>
      </c>
      <c r="C53" s="118" t="s">
        <v>41</v>
      </c>
      <c r="D53" s="118" t="s">
        <v>42</v>
      </c>
      <c r="E53" s="119" t="s">
        <v>43</v>
      </c>
    </row>
    <row r="54" ht="14.25" customHeight="1">
      <c r="A54" s="120"/>
      <c r="B54" s="121" t="s">
        <v>44</v>
      </c>
      <c r="C54" s="122"/>
      <c r="D54" s="122"/>
      <c r="E54" s="123"/>
    </row>
    <row r="55" ht="14.25" customHeight="1">
      <c r="A55" s="22">
        <v>1.0</v>
      </c>
      <c r="B55" s="23" t="s">
        <v>65</v>
      </c>
      <c r="C55" s="124">
        <v>0.2</v>
      </c>
      <c r="D55" s="185">
        <v>5.0</v>
      </c>
      <c r="E55" s="126">
        <f t="shared" ref="E55:E59" si="4">(D55*C55)</f>
        <v>1</v>
      </c>
    </row>
    <row r="56" ht="14.25" customHeight="1">
      <c r="A56" s="22">
        <v>2.0</v>
      </c>
      <c r="B56" s="23" t="s">
        <v>66</v>
      </c>
      <c r="C56" s="124">
        <v>0.2</v>
      </c>
      <c r="D56" s="185">
        <v>5.0</v>
      </c>
      <c r="E56" s="126">
        <f t="shared" si="4"/>
        <v>1</v>
      </c>
    </row>
    <row r="57" ht="14.25" customHeight="1">
      <c r="A57" s="22">
        <v>3.0</v>
      </c>
      <c r="B57" s="23" t="s">
        <v>67</v>
      </c>
      <c r="C57" s="124">
        <v>0.2</v>
      </c>
      <c r="D57" s="185">
        <v>5.0</v>
      </c>
      <c r="E57" s="126">
        <f t="shared" si="4"/>
        <v>1</v>
      </c>
    </row>
    <row r="58" ht="14.25" customHeight="1">
      <c r="A58" s="22">
        <v>4.0</v>
      </c>
      <c r="B58" s="23" t="s">
        <v>68</v>
      </c>
      <c r="C58" s="124">
        <v>0.2</v>
      </c>
      <c r="D58" s="185">
        <v>5.0</v>
      </c>
      <c r="E58" s="126">
        <f t="shared" si="4"/>
        <v>1</v>
      </c>
    </row>
    <row r="59" ht="14.25" customHeight="1">
      <c r="A59" s="22">
        <v>5.0</v>
      </c>
      <c r="B59" s="23" t="s">
        <v>69</v>
      </c>
      <c r="C59" s="124">
        <v>0.2</v>
      </c>
      <c r="D59" s="185">
        <v>5.0</v>
      </c>
      <c r="E59" s="126">
        <f t="shared" si="4"/>
        <v>1</v>
      </c>
    </row>
    <row r="60" ht="14.25" customHeight="1">
      <c r="A60" s="33"/>
      <c r="B60" s="87" t="s">
        <v>49</v>
      </c>
      <c r="C60" s="35">
        <f>SUM(C55:C59)</f>
        <v>1</v>
      </c>
      <c r="D60" s="88"/>
      <c r="E60" s="37">
        <f>SUM(E55:E59)</f>
        <v>5</v>
      </c>
    </row>
    <row r="61" ht="14.25" customHeight="1">
      <c r="A61" s="127"/>
      <c r="B61" s="127"/>
      <c r="C61" s="127"/>
      <c r="D61" s="127"/>
      <c r="E61" s="127"/>
    </row>
    <row r="62" ht="14.25" customHeight="1">
      <c r="A62" s="127"/>
      <c r="B62" s="91" t="s">
        <v>51</v>
      </c>
      <c r="C62" s="92"/>
      <c r="D62" s="92"/>
      <c r="E62" s="93"/>
    </row>
    <row r="63" ht="14.25" customHeight="1">
      <c r="A63" s="127"/>
      <c r="B63" s="109" t="s">
        <v>52</v>
      </c>
      <c r="C63" s="110" t="s">
        <v>53</v>
      </c>
      <c r="D63" s="111"/>
      <c r="E63" s="112"/>
    </row>
    <row r="64" ht="14.25" customHeight="1">
      <c r="A64" s="127"/>
      <c r="B64" s="186" t="s">
        <v>103</v>
      </c>
      <c r="C64" s="129"/>
      <c r="D64" s="115"/>
      <c r="E64" s="116"/>
    </row>
    <row r="65" ht="14.25" customHeight="1">
      <c r="A65" s="127"/>
      <c r="B65" s="102"/>
      <c r="C65" s="103"/>
      <c r="E65" s="52"/>
    </row>
    <row r="66" ht="14.25" customHeight="1">
      <c r="A66" s="127"/>
      <c r="B66" s="104"/>
      <c r="C66" s="105"/>
      <c r="D66" s="85"/>
      <c r="E66" s="86"/>
    </row>
    <row r="67" ht="14.25" customHeight="1">
      <c r="A67" s="127"/>
      <c r="B67" s="130"/>
      <c r="C67" s="131"/>
      <c r="D67" s="131"/>
      <c r="E67" s="131"/>
    </row>
    <row r="68" ht="14.25" customHeight="1">
      <c r="A68" s="10"/>
      <c r="B68" s="10"/>
      <c r="C68" s="10"/>
      <c r="D68" s="10"/>
      <c r="E68" s="10"/>
    </row>
    <row r="69" ht="14.25" customHeight="1">
      <c r="A69" s="117" t="s">
        <v>70</v>
      </c>
      <c r="B69" s="132" t="s">
        <v>71</v>
      </c>
      <c r="C69" s="118" t="s">
        <v>41</v>
      </c>
      <c r="D69" s="118" t="s">
        <v>42</v>
      </c>
      <c r="E69" s="119" t="s">
        <v>43</v>
      </c>
    </row>
    <row r="70" ht="14.25" customHeight="1">
      <c r="A70" s="133"/>
      <c r="B70" s="134" t="s">
        <v>44</v>
      </c>
      <c r="C70" s="135"/>
      <c r="D70" s="135"/>
      <c r="E70" s="136"/>
    </row>
    <row r="71" ht="14.25" customHeight="1">
      <c r="A71" s="137">
        <v>1.0</v>
      </c>
      <c r="B71" s="138" t="s">
        <v>72</v>
      </c>
      <c r="C71" s="139">
        <v>0.15</v>
      </c>
      <c r="D71" s="187">
        <v>4.0</v>
      </c>
      <c r="E71" s="141">
        <f t="shared" ref="E71:E76" si="5">(D71*C71)</f>
        <v>0.6</v>
      </c>
    </row>
    <row r="72" ht="14.25" customHeight="1">
      <c r="A72" s="142">
        <v>2.0</v>
      </c>
      <c r="B72" s="143" t="s">
        <v>73</v>
      </c>
      <c r="C72" s="124">
        <v>0.2</v>
      </c>
      <c r="D72" s="185">
        <v>2.0</v>
      </c>
      <c r="E72" s="144">
        <f t="shared" si="5"/>
        <v>0.4</v>
      </c>
    </row>
    <row r="73" ht="14.25" customHeight="1">
      <c r="A73" s="145">
        <v>3.0</v>
      </c>
      <c r="B73" s="146" t="s">
        <v>74</v>
      </c>
      <c r="C73" s="147">
        <v>0.3</v>
      </c>
      <c r="D73" s="188">
        <v>1.0</v>
      </c>
      <c r="E73" s="149">
        <f t="shared" si="5"/>
        <v>0.3</v>
      </c>
    </row>
    <row r="74" ht="14.25" customHeight="1">
      <c r="A74" s="142">
        <v>4.0</v>
      </c>
      <c r="B74" s="143" t="s">
        <v>75</v>
      </c>
      <c r="C74" s="124">
        <v>0.1</v>
      </c>
      <c r="D74" s="185">
        <v>3.0</v>
      </c>
      <c r="E74" s="144">
        <f t="shared" si="5"/>
        <v>0.3</v>
      </c>
    </row>
    <row r="75" ht="14.25" customHeight="1">
      <c r="A75" s="142">
        <v>5.0</v>
      </c>
      <c r="B75" s="143" t="s">
        <v>76</v>
      </c>
      <c r="C75" s="124">
        <v>0.15</v>
      </c>
      <c r="D75" s="185">
        <v>2.0</v>
      </c>
      <c r="E75" s="144">
        <f t="shared" si="5"/>
        <v>0.3</v>
      </c>
    </row>
    <row r="76" ht="14.25" customHeight="1">
      <c r="A76" s="142">
        <v>6.0</v>
      </c>
      <c r="B76" s="143" t="s">
        <v>77</v>
      </c>
      <c r="C76" s="124">
        <v>0.1</v>
      </c>
      <c r="D76" s="185">
        <v>4.0</v>
      </c>
      <c r="E76" s="144">
        <f t="shared" si="5"/>
        <v>0.4</v>
      </c>
    </row>
    <row r="77" ht="14.25" customHeight="1">
      <c r="A77" s="33"/>
      <c r="B77" s="87" t="s">
        <v>49</v>
      </c>
      <c r="C77" s="35">
        <f>SUM(C71:C76)</f>
        <v>1</v>
      </c>
      <c r="D77" s="88"/>
      <c r="E77" s="37">
        <f>SUM(E71:E76)</f>
        <v>2.3</v>
      </c>
    </row>
    <row r="78" ht="14.25" customHeight="1">
      <c r="A78" s="150"/>
      <c r="B78" s="151"/>
      <c r="C78" s="152"/>
      <c r="D78" s="153"/>
      <c r="E78" s="154"/>
    </row>
    <row r="79" ht="14.25" customHeight="1">
      <c r="A79" s="127"/>
      <c r="B79" s="91" t="s">
        <v>51</v>
      </c>
      <c r="C79" s="92"/>
      <c r="D79" s="92"/>
      <c r="E79" s="93"/>
    </row>
    <row r="80" ht="14.25" customHeight="1">
      <c r="A80" s="127"/>
      <c r="B80" s="155" t="s">
        <v>52</v>
      </c>
      <c r="C80" s="156" t="s">
        <v>53</v>
      </c>
      <c r="D80" s="60"/>
      <c r="E80" s="61"/>
    </row>
    <row r="81" ht="14.25" customHeight="1">
      <c r="A81" s="127"/>
      <c r="B81" s="186" t="s">
        <v>104</v>
      </c>
      <c r="C81" s="129"/>
      <c r="D81" s="115"/>
      <c r="E81" s="116"/>
    </row>
    <row r="82" ht="14.25" customHeight="1">
      <c r="A82" s="127"/>
      <c r="B82" s="102"/>
      <c r="C82" s="103"/>
      <c r="E82" s="52"/>
    </row>
    <row r="83" ht="14.25" customHeight="1">
      <c r="A83" s="127"/>
      <c r="B83" s="104"/>
      <c r="C83" s="105"/>
      <c r="D83" s="85"/>
      <c r="E83" s="86"/>
    </row>
    <row r="84" ht="28.5" customHeight="1">
      <c r="A84" s="41"/>
      <c r="B84" s="42"/>
      <c r="C84" s="157"/>
      <c r="D84" s="41"/>
      <c r="E84" s="158"/>
    </row>
    <row r="85" ht="30.0" customHeight="1">
      <c r="A85" s="117" t="s">
        <v>78</v>
      </c>
      <c r="B85" s="159" t="s">
        <v>79</v>
      </c>
      <c r="C85" s="118" t="s">
        <v>41</v>
      </c>
      <c r="D85" s="118" t="s">
        <v>42</v>
      </c>
      <c r="E85" s="119" t="s">
        <v>43</v>
      </c>
    </row>
    <row r="86" ht="14.25" customHeight="1">
      <c r="A86" s="22">
        <v>1.0</v>
      </c>
      <c r="B86" s="143" t="s">
        <v>80</v>
      </c>
      <c r="C86" s="24">
        <v>0.05</v>
      </c>
      <c r="D86" s="181">
        <v>5.0</v>
      </c>
      <c r="E86" s="25">
        <f t="shared" ref="E86:E94" si="6">(D86*C86)</f>
        <v>0.25</v>
      </c>
    </row>
    <row r="87" ht="14.25" customHeight="1">
      <c r="A87" s="22">
        <v>2.0</v>
      </c>
      <c r="B87" s="143" t="s">
        <v>81</v>
      </c>
      <c r="C87" s="24">
        <v>0.15</v>
      </c>
      <c r="D87" s="181">
        <v>5.0</v>
      </c>
      <c r="E87" s="25">
        <f t="shared" si="6"/>
        <v>0.75</v>
      </c>
    </row>
    <row r="88" ht="14.25" customHeight="1">
      <c r="A88" s="22">
        <v>3.0</v>
      </c>
      <c r="B88" s="143" t="s">
        <v>82</v>
      </c>
      <c r="C88" s="24">
        <v>0.1</v>
      </c>
      <c r="D88" s="181">
        <v>5.0</v>
      </c>
      <c r="E88" s="25">
        <f t="shared" si="6"/>
        <v>0.5</v>
      </c>
    </row>
    <row r="89" ht="14.25" customHeight="1">
      <c r="A89" s="22">
        <v>4.0</v>
      </c>
      <c r="B89" s="143" t="s">
        <v>83</v>
      </c>
      <c r="C89" s="24">
        <v>0.1</v>
      </c>
      <c r="D89" s="181">
        <v>5.0</v>
      </c>
      <c r="E89" s="25">
        <f t="shared" si="6"/>
        <v>0.5</v>
      </c>
    </row>
    <row r="90" ht="14.25" customHeight="1">
      <c r="A90" s="22">
        <v>5.0</v>
      </c>
      <c r="B90" s="143" t="s">
        <v>84</v>
      </c>
      <c r="C90" s="24">
        <v>0.1</v>
      </c>
      <c r="D90" s="181">
        <v>5.0</v>
      </c>
      <c r="E90" s="25">
        <f t="shared" si="6"/>
        <v>0.5</v>
      </c>
    </row>
    <row r="91" ht="14.25" customHeight="1">
      <c r="A91" s="22">
        <v>6.0</v>
      </c>
      <c r="B91" s="143" t="s">
        <v>85</v>
      </c>
      <c r="C91" s="24">
        <v>0.1</v>
      </c>
      <c r="D91" s="181">
        <v>5.0</v>
      </c>
      <c r="E91" s="25">
        <f t="shared" si="6"/>
        <v>0.5</v>
      </c>
    </row>
    <row r="92" ht="14.25" customHeight="1">
      <c r="A92" s="22">
        <v>7.0</v>
      </c>
      <c r="B92" s="143" t="s">
        <v>86</v>
      </c>
      <c r="C92" s="24">
        <v>0.15</v>
      </c>
      <c r="D92" s="181">
        <v>5.0</v>
      </c>
      <c r="E92" s="25">
        <f t="shared" si="6"/>
        <v>0.75</v>
      </c>
    </row>
    <row r="93" ht="14.25" customHeight="1">
      <c r="A93" s="22">
        <v>8.0</v>
      </c>
      <c r="B93" s="143" t="s">
        <v>87</v>
      </c>
      <c r="C93" s="24">
        <v>0.15</v>
      </c>
      <c r="D93" s="181">
        <v>5.0</v>
      </c>
      <c r="E93" s="25">
        <f t="shared" si="6"/>
        <v>0.75</v>
      </c>
    </row>
    <row r="94" ht="14.25" customHeight="1">
      <c r="A94" s="22">
        <v>9.0</v>
      </c>
      <c r="B94" s="143" t="s">
        <v>88</v>
      </c>
      <c r="C94" s="24">
        <v>0.1</v>
      </c>
      <c r="D94" s="181">
        <v>5.0</v>
      </c>
      <c r="E94" s="25">
        <f t="shared" si="6"/>
        <v>0.5</v>
      </c>
    </row>
    <row r="95" ht="14.25" customHeight="1">
      <c r="A95" s="33"/>
      <c r="B95" s="87" t="s">
        <v>49</v>
      </c>
      <c r="C95" s="35">
        <f>SUM(C86:C94)</f>
        <v>1</v>
      </c>
      <c r="D95" s="88"/>
      <c r="E95" s="37">
        <f>SUM(E86:E94)</f>
        <v>5</v>
      </c>
    </row>
    <row r="96" ht="14.25" customHeight="1">
      <c r="A96" s="41"/>
      <c r="B96" s="160"/>
      <c r="C96" s="161"/>
      <c r="D96" s="162"/>
      <c r="E96" s="163"/>
    </row>
    <row r="97" ht="14.25" customHeight="1">
      <c r="A97" s="10"/>
      <c r="B97" s="91" t="s">
        <v>51</v>
      </c>
      <c r="C97" s="92"/>
      <c r="D97" s="92"/>
      <c r="E97" s="93"/>
    </row>
    <row r="98" ht="14.25" customHeight="1">
      <c r="A98" s="10"/>
      <c r="B98" s="155" t="s">
        <v>52</v>
      </c>
      <c r="C98" s="156" t="s">
        <v>53</v>
      </c>
      <c r="D98" s="60"/>
      <c r="E98" s="61"/>
    </row>
    <row r="99" ht="14.25" customHeight="1">
      <c r="A99" s="10"/>
      <c r="B99" s="113"/>
      <c r="C99" s="114"/>
      <c r="D99" s="115"/>
      <c r="E99" s="116"/>
    </row>
    <row r="100" ht="14.25" customHeight="1">
      <c r="A100" s="10"/>
      <c r="B100" s="102"/>
      <c r="C100" s="103"/>
      <c r="E100" s="52"/>
    </row>
    <row r="101" ht="14.25" customHeight="1">
      <c r="A101" s="10"/>
      <c r="B101" s="104"/>
      <c r="C101" s="105"/>
      <c r="D101" s="85"/>
      <c r="E101" s="86"/>
    </row>
    <row r="102" ht="14.25" customHeight="1">
      <c r="A102" s="10"/>
      <c r="B102" s="10"/>
      <c r="C102" s="10"/>
      <c r="D102" s="10"/>
      <c r="E102" s="10"/>
    </row>
    <row r="103" ht="14.25" customHeight="1">
      <c r="A103" s="117" t="s">
        <v>89</v>
      </c>
      <c r="B103" s="164" t="s">
        <v>90</v>
      </c>
      <c r="C103" s="118" t="s">
        <v>41</v>
      </c>
      <c r="D103" s="118" t="s">
        <v>42</v>
      </c>
      <c r="E103" s="119" t="s">
        <v>43</v>
      </c>
    </row>
    <row r="104" ht="14.25" customHeight="1">
      <c r="A104" s="133"/>
      <c r="B104" s="134" t="s">
        <v>44</v>
      </c>
      <c r="C104" s="135"/>
      <c r="D104" s="135"/>
      <c r="E104" s="136"/>
    </row>
    <row r="105" ht="14.25" customHeight="1">
      <c r="A105" s="76" t="s">
        <v>91</v>
      </c>
      <c r="B105" s="165" t="s">
        <v>92</v>
      </c>
      <c r="C105" s="78">
        <v>0.2</v>
      </c>
      <c r="D105" s="180">
        <v>5.0</v>
      </c>
      <c r="E105" s="80">
        <f t="shared" ref="E105:E107" si="7">(D105*C105)</f>
        <v>1</v>
      </c>
    </row>
    <row r="106" ht="14.25" customHeight="1">
      <c r="A106" s="81" t="s">
        <v>93</v>
      </c>
      <c r="B106" s="143" t="s">
        <v>94</v>
      </c>
      <c r="C106" s="24">
        <v>0.4</v>
      </c>
      <c r="D106" s="181">
        <v>5.0</v>
      </c>
      <c r="E106" s="83">
        <f t="shared" si="7"/>
        <v>2</v>
      </c>
    </row>
    <row r="107" ht="14.25" customHeight="1">
      <c r="A107" s="81" t="s">
        <v>95</v>
      </c>
      <c r="B107" s="143" t="s">
        <v>96</v>
      </c>
      <c r="C107" s="24">
        <v>0.4</v>
      </c>
      <c r="D107" s="181">
        <v>5.0</v>
      </c>
      <c r="E107" s="83">
        <f t="shared" si="7"/>
        <v>2</v>
      </c>
    </row>
    <row r="108" ht="14.25" customHeight="1">
      <c r="A108" s="72"/>
      <c r="B108" s="87" t="s">
        <v>49</v>
      </c>
      <c r="C108" s="166">
        <f>SUM(C105:C107)</f>
        <v>1</v>
      </c>
      <c r="D108" s="73" t="s">
        <v>50</v>
      </c>
      <c r="E108" s="167">
        <f>SUM(E105:E107)</f>
        <v>5</v>
      </c>
    </row>
    <row r="109" ht="14.25" customHeight="1">
      <c r="A109" s="10"/>
      <c r="B109" s="10"/>
      <c r="C109" s="10"/>
      <c r="D109" s="10"/>
      <c r="E109" s="10"/>
    </row>
    <row r="110" ht="14.25" customHeight="1">
      <c r="A110" s="10"/>
      <c r="B110" s="91" t="s">
        <v>51</v>
      </c>
      <c r="C110" s="92"/>
      <c r="D110" s="92"/>
      <c r="E110" s="93"/>
    </row>
    <row r="111" ht="14.25" customHeight="1">
      <c r="A111" s="10"/>
      <c r="B111" s="109" t="s">
        <v>52</v>
      </c>
      <c r="C111" s="110" t="s">
        <v>53</v>
      </c>
      <c r="D111" s="111"/>
      <c r="E111" s="112"/>
    </row>
    <row r="112" ht="14.25" customHeight="1">
      <c r="A112" s="10"/>
      <c r="B112" s="113"/>
      <c r="C112" s="114"/>
      <c r="D112" s="115"/>
      <c r="E112" s="116"/>
    </row>
    <row r="113" ht="14.25" customHeight="1">
      <c r="A113" s="10"/>
      <c r="B113" s="102"/>
      <c r="C113" s="103"/>
      <c r="E113" s="52"/>
    </row>
    <row r="114" ht="14.25" customHeight="1">
      <c r="A114" s="10"/>
      <c r="B114" s="104"/>
      <c r="C114" s="105"/>
      <c r="D114" s="85"/>
      <c r="E114" s="86"/>
    </row>
    <row r="115" ht="14.25" customHeight="1">
      <c r="A115" s="10"/>
      <c r="B115" s="168"/>
      <c r="C115" s="169"/>
      <c r="D115" s="169"/>
      <c r="E115" s="169"/>
    </row>
    <row r="116" ht="14.25" customHeight="1">
      <c r="A116" s="10"/>
      <c r="B116" s="20"/>
      <c r="C116" s="170"/>
      <c r="D116" s="170"/>
      <c r="E116" s="170"/>
    </row>
    <row r="117" ht="14.25" customHeight="1">
      <c r="A117" s="10"/>
      <c r="B117" s="42"/>
      <c r="C117" s="171"/>
      <c r="D117" s="171"/>
      <c r="E117" s="171"/>
    </row>
    <row r="118" ht="14.25" customHeight="1">
      <c r="A118" s="10"/>
      <c r="B118" s="42"/>
      <c r="C118" s="171"/>
      <c r="D118" s="171"/>
      <c r="E118" s="171"/>
    </row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36">
    <mergeCell ref="A15:E15"/>
    <mergeCell ref="B16:E16"/>
    <mergeCell ref="A1:E1"/>
    <mergeCell ref="H1:L1"/>
    <mergeCell ref="A3:E3"/>
    <mergeCell ref="B5:D5"/>
    <mergeCell ref="H12:L26"/>
    <mergeCell ref="A13:E13"/>
    <mergeCell ref="C14:D14"/>
    <mergeCell ref="B19:E19"/>
    <mergeCell ref="B33:B35"/>
    <mergeCell ref="B48:B51"/>
    <mergeCell ref="B17:E17"/>
    <mergeCell ref="B18:E18"/>
    <mergeCell ref="B31:E31"/>
    <mergeCell ref="C32:E32"/>
    <mergeCell ref="C33:E35"/>
    <mergeCell ref="B46:E46"/>
    <mergeCell ref="C47:E47"/>
    <mergeCell ref="C48:E51"/>
    <mergeCell ref="B62:E62"/>
    <mergeCell ref="C63:E63"/>
    <mergeCell ref="B64:B66"/>
    <mergeCell ref="C64:E66"/>
    <mergeCell ref="B79:E79"/>
    <mergeCell ref="C80:E80"/>
    <mergeCell ref="C111:E111"/>
    <mergeCell ref="B112:B114"/>
    <mergeCell ref="C112:E114"/>
    <mergeCell ref="B81:B83"/>
    <mergeCell ref="C81:E83"/>
    <mergeCell ref="B97:E97"/>
    <mergeCell ref="C98:E98"/>
    <mergeCell ref="B99:B101"/>
    <mergeCell ref="C99:E101"/>
    <mergeCell ref="B110:E110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5.57"/>
    <col customWidth="1" min="3" max="8" width="10.71"/>
    <col customWidth="1" min="9" max="9" width="17.29"/>
    <col customWidth="1" min="10" max="26" width="10.71"/>
  </cols>
  <sheetData>
    <row r="1" ht="21.75" customHeight="1">
      <c r="A1" s="1" t="s">
        <v>0</v>
      </c>
      <c r="B1" s="2"/>
      <c r="C1" s="2"/>
      <c r="D1" s="2"/>
      <c r="E1" s="3"/>
      <c r="H1" s="4" t="s">
        <v>1</v>
      </c>
      <c r="I1" s="5"/>
      <c r="J1" s="5"/>
      <c r="K1" s="5"/>
      <c r="L1" s="6"/>
    </row>
    <row r="2" ht="14.25" customHeight="1">
      <c r="A2" s="7"/>
      <c r="B2" s="8"/>
      <c r="C2" s="8"/>
      <c r="D2" s="8"/>
      <c r="E2" s="9"/>
      <c r="H2" s="10"/>
      <c r="I2" s="10"/>
      <c r="J2" s="10"/>
      <c r="K2" s="11"/>
      <c r="L2" s="11"/>
    </row>
    <row r="3" ht="22.5" customHeight="1">
      <c r="A3" s="12" t="s">
        <v>2</v>
      </c>
      <c r="B3" s="5"/>
      <c r="C3" s="5"/>
      <c r="D3" s="5"/>
      <c r="E3" s="13"/>
      <c r="H3" s="14" t="s">
        <v>3</v>
      </c>
      <c r="I3" s="15" t="s">
        <v>4</v>
      </c>
      <c r="J3" s="16" t="s">
        <v>5</v>
      </c>
      <c r="K3" s="17" t="s">
        <v>6</v>
      </c>
      <c r="L3" s="18" t="s">
        <v>7</v>
      </c>
    </row>
    <row r="4" ht="14.25" customHeight="1">
      <c r="A4" s="19"/>
      <c r="B4" s="20"/>
      <c r="C4" s="20"/>
      <c r="D4" s="20"/>
      <c r="E4" s="21"/>
      <c r="H4" s="22">
        <v>1.0</v>
      </c>
      <c r="I4" s="23" t="s">
        <v>8</v>
      </c>
      <c r="J4" s="24">
        <v>0.2</v>
      </c>
      <c r="K4" s="25">
        <f>E29</f>
        <v>0</v>
      </c>
      <c r="L4" s="25">
        <f t="shared" ref="L4:L9" si="1">(K4*J4)</f>
        <v>0</v>
      </c>
    </row>
    <row r="5" ht="14.25" customHeight="1">
      <c r="A5" s="19"/>
      <c r="B5" s="26" t="s">
        <v>9</v>
      </c>
      <c r="C5" s="5"/>
      <c r="D5" s="6"/>
      <c r="E5" s="21"/>
      <c r="H5" s="22">
        <v>2.0</v>
      </c>
      <c r="I5" s="23" t="s">
        <v>10</v>
      </c>
      <c r="J5" s="24">
        <v>0.1</v>
      </c>
      <c r="K5" s="25">
        <f>E44</f>
        <v>0</v>
      </c>
      <c r="L5" s="25">
        <f t="shared" si="1"/>
        <v>0</v>
      </c>
    </row>
    <row r="6" ht="14.25" customHeight="1">
      <c r="A6" s="19"/>
      <c r="B6" s="27" t="s">
        <v>11</v>
      </c>
      <c r="C6" s="28" t="s">
        <v>12</v>
      </c>
      <c r="D6" s="29" t="s">
        <v>13</v>
      </c>
      <c r="E6" s="21"/>
      <c r="H6" s="22">
        <v>3.0</v>
      </c>
      <c r="I6" s="23" t="s">
        <v>14</v>
      </c>
      <c r="J6" s="24">
        <v>0.1</v>
      </c>
      <c r="K6" s="25">
        <f>E59</f>
        <v>0</v>
      </c>
      <c r="L6" s="25">
        <f t="shared" si="1"/>
        <v>0</v>
      </c>
    </row>
    <row r="7" ht="14.25" customHeight="1">
      <c r="A7" s="19"/>
      <c r="B7" s="30" t="s">
        <v>15</v>
      </c>
      <c r="C7" s="31" t="s">
        <v>16</v>
      </c>
      <c r="D7" s="32">
        <v>1.0</v>
      </c>
      <c r="E7" s="21"/>
      <c r="H7" s="22">
        <v>4.0</v>
      </c>
      <c r="I7" s="23" t="s">
        <v>17</v>
      </c>
      <c r="J7" s="24">
        <v>0.1</v>
      </c>
      <c r="K7" s="25">
        <f>E76</f>
        <v>0</v>
      </c>
      <c r="L7" s="25">
        <f t="shared" si="1"/>
        <v>0</v>
      </c>
    </row>
    <row r="8" ht="14.25" customHeight="1">
      <c r="A8" s="19"/>
      <c r="B8" s="30" t="s">
        <v>18</v>
      </c>
      <c r="C8" s="31" t="s">
        <v>19</v>
      </c>
      <c r="D8" s="32">
        <v>2.0</v>
      </c>
      <c r="E8" s="21"/>
      <c r="H8" s="22">
        <v>5.0</v>
      </c>
      <c r="I8" s="23" t="s">
        <v>20</v>
      </c>
      <c r="J8" s="24">
        <v>0.2</v>
      </c>
      <c r="K8" s="25">
        <f>E94</f>
        <v>0</v>
      </c>
      <c r="L8" s="25">
        <f t="shared" si="1"/>
        <v>0</v>
      </c>
    </row>
    <row r="9" ht="14.25" customHeight="1">
      <c r="A9" s="19"/>
      <c r="B9" s="30" t="s">
        <v>21</v>
      </c>
      <c r="C9" s="31" t="s">
        <v>22</v>
      </c>
      <c r="D9" s="32">
        <v>3.0</v>
      </c>
      <c r="E9" s="21"/>
      <c r="H9" s="22">
        <v>6.0</v>
      </c>
      <c r="I9" s="23" t="s">
        <v>23</v>
      </c>
      <c r="J9" s="24">
        <v>0.3</v>
      </c>
      <c r="K9" s="25">
        <f>E107</f>
        <v>0</v>
      </c>
      <c r="L9" s="25">
        <f t="shared" si="1"/>
        <v>0</v>
      </c>
    </row>
    <row r="10" ht="14.25" customHeight="1">
      <c r="A10" s="19"/>
      <c r="B10" s="30" t="s">
        <v>24</v>
      </c>
      <c r="C10" s="31" t="s">
        <v>25</v>
      </c>
      <c r="D10" s="32">
        <v>4.0</v>
      </c>
      <c r="E10" s="21"/>
      <c r="H10" s="33"/>
      <c r="I10" s="34" t="s">
        <v>26</v>
      </c>
      <c r="J10" s="35">
        <f>SUM(J4:J9)</f>
        <v>1</v>
      </c>
      <c r="K10" s="36"/>
      <c r="L10" s="37">
        <f>SUM(L7:L9)</f>
        <v>0</v>
      </c>
    </row>
    <row r="11" ht="14.25" customHeight="1">
      <c r="A11" s="19"/>
      <c r="B11" s="38" t="s">
        <v>27</v>
      </c>
      <c r="C11" s="39" t="s">
        <v>28</v>
      </c>
      <c r="D11" s="40">
        <v>5.0</v>
      </c>
      <c r="E11" s="21"/>
      <c r="H11" s="41"/>
      <c r="I11" s="42"/>
      <c r="J11" s="43"/>
      <c r="K11" s="44"/>
      <c r="L11" s="45"/>
    </row>
    <row r="12" ht="14.25" customHeight="1">
      <c r="A12" s="46"/>
      <c r="B12" s="42"/>
      <c r="C12" s="44"/>
      <c r="D12" s="44"/>
      <c r="E12" s="47"/>
      <c r="H12" s="48" t="s">
        <v>29</v>
      </c>
      <c r="I12" s="49"/>
      <c r="J12" s="49"/>
      <c r="K12" s="49"/>
      <c r="L12" s="50"/>
    </row>
    <row r="13" ht="14.25" customHeight="1">
      <c r="A13" s="51" t="s">
        <v>30</v>
      </c>
      <c r="E13" s="52"/>
      <c r="H13" s="53"/>
      <c r="L13" s="52"/>
    </row>
    <row r="14" ht="14.25" customHeight="1">
      <c r="A14" s="54"/>
      <c r="B14" s="55"/>
      <c r="C14" s="56"/>
      <c r="D14" s="57"/>
      <c r="E14" s="58"/>
      <c r="H14" s="53"/>
      <c r="L14" s="52"/>
    </row>
    <row r="15" ht="14.25" customHeight="1">
      <c r="A15" s="59" t="s">
        <v>31</v>
      </c>
      <c r="B15" s="60"/>
      <c r="C15" s="60"/>
      <c r="D15" s="60"/>
      <c r="E15" s="61"/>
      <c r="H15" s="53"/>
      <c r="L15" s="52"/>
    </row>
    <row r="16" ht="14.25" customHeight="1">
      <c r="A16" s="62" t="s">
        <v>32</v>
      </c>
      <c r="B16" s="63"/>
      <c r="C16" s="2"/>
      <c r="D16" s="2"/>
      <c r="E16" s="3"/>
      <c r="H16" s="53"/>
      <c r="L16" s="52"/>
    </row>
    <row r="17" ht="14.25" customHeight="1">
      <c r="A17" s="64" t="s">
        <v>34</v>
      </c>
      <c r="B17" s="172"/>
      <c r="C17" s="60"/>
      <c r="D17" s="60"/>
      <c r="E17" s="61"/>
      <c r="H17" s="53"/>
      <c r="L17" s="52"/>
    </row>
    <row r="18" ht="14.25" customHeight="1">
      <c r="A18" s="62" t="s">
        <v>36</v>
      </c>
      <c r="B18" s="173"/>
      <c r="C18" s="2"/>
      <c r="D18" s="2"/>
      <c r="E18" s="3"/>
      <c r="H18" s="53"/>
      <c r="L18" s="52"/>
    </row>
    <row r="19" ht="14.25" customHeight="1">
      <c r="A19" s="64" t="s">
        <v>38</v>
      </c>
      <c r="B19" s="67">
        <f>L10</f>
        <v>0</v>
      </c>
      <c r="C19" s="60"/>
      <c r="D19" s="60"/>
      <c r="E19" s="61"/>
      <c r="H19" s="53"/>
      <c r="L19" s="52"/>
    </row>
    <row r="20" ht="14.25" customHeight="1">
      <c r="A20" s="68"/>
      <c r="B20" s="68"/>
      <c r="C20" s="10"/>
      <c r="D20" s="10"/>
      <c r="E20" s="10"/>
      <c r="H20" s="53"/>
      <c r="L20" s="52"/>
    </row>
    <row r="21" ht="14.25" customHeight="1">
      <c r="A21" s="42"/>
      <c r="B21" s="42"/>
      <c r="C21" s="10"/>
      <c r="D21" s="10"/>
      <c r="E21" s="10"/>
      <c r="H21" s="53"/>
      <c r="L21" s="52"/>
    </row>
    <row r="22" ht="14.25" customHeight="1">
      <c r="A22" s="42"/>
      <c r="B22" s="42"/>
      <c r="C22" s="10"/>
      <c r="D22" s="10"/>
      <c r="E22" s="10"/>
      <c r="H22" s="53"/>
      <c r="L22" s="52"/>
    </row>
    <row r="23" ht="14.25" customHeight="1">
      <c r="A23" s="14" t="s">
        <v>39</v>
      </c>
      <c r="B23" s="69" t="s">
        <v>40</v>
      </c>
      <c r="C23" s="70" t="s">
        <v>41</v>
      </c>
      <c r="D23" s="70" t="s">
        <v>42</v>
      </c>
      <c r="E23" s="71" t="s">
        <v>43</v>
      </c>
      <c r="H23" s="53"/>
      <c r="L23" s="52"/>
    </row>
    <row r="24" ht="14.25" customHeight="1">
      <c r="A24" s="72"/>
      <c r="B24" s="73" t="s">
        <v>44</v>
      </c>
      <c r="C24" s="74"/>
      <c r="D24" s="74"/>
      <c r="E24" s="75"/>
      <c r="H24" s="53"/>
      <c r="L24" s="52"/>
    </row>
    <row r="25" ht="14.25" customHeight="1">
      <c r="A25" s="76">
        <v>1.0</v>
      </c>
      <c r="B25" s="77" t="s">
        <v>45</v>
      </c>
      <c r="C25" s="78">
        <v>0.2</v>
      </c>
      <c r="D25" s="79"/>
      <c r="E25" s="80">
        <f t="shared" ref="E25:E28" si="2">(D25*C25)</f>
        <v>0</v>
      </c>
      <c r="H25" s="53"/>
      <c r="L25" s="52"/>
    </row>
    <row r="26" ht="14.25" customHeight="1">
      <c r="A26" s="81">
        <v>2.0</v>
      </c>
      <c r="B26" s="82" t="s">
        <v>46</v>
      </c>
      <c r="C26" s="24">
        <v>0.3</v>
      </c>
      <c r="D26" s="22"/>
      <c r="E26" s="83">
        <f t="shared" si="2"/>
        <v>0</v>
      </c>
      <c r="H26" s="84"/>
      <c r="I26" s="85"/>
      <c r="J26" s="85"/>
      <c r="K26" s="85"/>
      <c r="L26" s="86"/>
    </row>
    <row r="27" ht="14.25" customHeight="1">
      <c r="A27" s="81">
        <v>3.0</v>
      </c>
      <c r="B27" s="82" t="s">
        <v>47</v>
      </c>
      <c r="C27" s="24">
        <v>0.2</v>
      </c>
      <c r="D27" s="22"/>
      <c r="E27" s="83">
        <f t="shared" si="2"/>
        <v>0</v>
      </c>
    </row>
    <row r="28" ht="14.25" customHeight="1">
      <c r="A28" s="81">
        <v>4.0</v>
      </c>
      <c r="B28" s="82" t="s">
        <v>48</v>
      </c>
      <c r="C28" s="24">
        <v>0.3</v>
      </c>
      <c r="D28" s="22"/>
      <c r="E28" s="83">
        <f t="shared" si="2"/>
        <v>0</v>
      </c>
    </row>
    <row r="29" ht="14.25" customHeight="1">
      <c r="A29" s="33"/>
      <c r="B29" s="87" t="s">
        <v>49</v>
      </c>
      <c r="C29" s="35">
        <f>SUM(C25:C28)</f>
        <v>1</v>
      </c>
      <c r="D29" s="88" t="s">
        <v>50</v>
      </c>
      <c r="E29" s="37">
        <f>SUM(E25:E28)</f>
        <v>0</v>
      </c>
    </row>
    <row r="30" ht="14.25" customHeight="1">
      <c r="A30" s="41"/>
      <c r="B30" s="68"/>
      <c r="C30" s="89"/>
      <c r="D30" s="44"/>
      <c r="E30" s="90"/>
    </row>
    <row r="31" ht="14.25" customHeight="1">
      <c r="A31" s="41"/>
      <c r="B31" s="91" t="s">
        <v>51</v>
      </c>
      <c r="C31" s="92"/>
      <c r="D31" s="92"/>
      <c r="E31" s="93"/>
    </row>
    <row r="32" ht="14.25" customHeight="1">
      <c r="A32" s="41"/>
      <c r="B32" s="94" t="s">
        <v>52</v>
      </c>
      <c r="C32" s="95" t="s">
        <v>53</v>
      </c>
      <c r="D32" s="96"/>
      <c r="E32" s="97"/>
    </row>
    <row r="33" ht="14.25" customHeight="1">
      <c r="A33" s="41"/>
      <c r="B33" s="98"/>
      <c r="C33" s="99"/>
      <c r="D33" s="100"/>
      <c r="E33" s="101"/>
    </row>
    <row r="34" ht="14.25" customHeight="1">
      <c r="A34" s="41"/>
      <c r="B34" s="102"/>
      <c r="C34" s="103"/>
      <c r="E34" s="52"/>
    </row>
    <row r="35" ht="14.25" customHeight="1">
      <c r="A35" s="10"/>
      <c r="B35" s="104"/>
      <c r="C35" s="105"/>
      <c r="D35" s="85"/>
      <c r="E35" s="86"/>
    </row>
    <row r="36" ht="14.25" customHeight="1">
      <c r="A36" s="10"/>
      <c r="B36" s="10"/>
      <c r="C36" s="10"/>
      <c r="D36" s="10"/>
      <c r="E36" s="10"/>
    </row>
    <row r="37" ht="14.25" customHeight="1">
      <c r="A37" s="14" t="s">
        <v>56</v>
      </c>
      <c r="B37" s="69" t="s">
        <v>57</v>
      </c>
      <c r="C37" s="70" t="s">
        <v>41</v>
      </c>
      <c r="D37" s="70" t="s">
        <v>42</v>
      </c>
      <c r="E37" s="71" t="s">
        <v>43</v>
      </c>
    </row>
    <row r="38" ht="14.25" customHeight="1">
      <c r="A38" s="106"/>
      <c r="B38" s="16" t="s">
        <v>44</v>
      </c>
      <c r="C38" s="107"/>
      <c r="D38" s="107"/>
      <c r="E38" s="108"/>
    </row>
    <row r="39" ht="14.25" customHeight="1">
      <c r="A39" s="22">
        <v>1.0</v>
      </c>
      <c r="B39" s="23" t="s">
        <v>58</v>
      </c>
      <c r="C39" s="24">
        <v>0.25</v>
      </c>
      <c r="D39" s="22"/>
      <c r="E39" s="25">
        <f t="shared" ref="E39:E43" si="3">(D39*C39)</f>
        <v>0</v>
      </c>
    </row>
    <row r="40" ht="14.25" customHeight="1">
      <c r="A40" s="22">
        <v>2.0</v>
      </c>
      <c r="B40" s="23" t="s">
        <v>59</v>
      </c>
      <c r="C40" s="24">
        <v>0.25</v>
      </c>
      <c r="D40" s="22"/>
      <c r="E40" s="25">
        <f t="shared" si="3"/>
        <v>0</v>
      </c>
    </row>
    <row r="41" ht="14.25" customHeight="1">
      <c r="A41" s="22">
        <v>3.0</v>
      </c>
      <c r="B41" s="23" t="s">
        <v>60</v>
      </c>
      <c r="C41" s="24">
        <v>0.2</v>
      </c>
      <c r="D41" s="22"/>
      <c r="E41" s="25">
        <f t="shared" si="3"/>
        <v>0</v>
      </c>
    </row>
    <row r="42" ht="14.25" customHeight="1">
      <c r="A42" s="22">
        <v>4.0</v>
      </c>
      <c r="B42" s="23" t="s">
        <v>61</v>
      </c>
      <c r="C42" s="24">
        <v>0.1</v>
      </c>
      <c r="D42" s="22"/>
      <c r="E42" s="25">
        <f t="shared" si="3"/>
        <v>0</v>
      </c>
    </row>
    <row r="43" ht="14.25" customHeight="1">
      <c r="A43" s="22">
        <v>5.0</v>
      </c>
      <c r="B43" s="23" t="s">
        <v>62</v>
      </c>
      <c r="C43" s="24">
        <v>0.2</v>
      </c>
      <c r="D43" s="22"/>
      <c r="E43" s="25">
        <f t="shared" si="3"/>
        <v>0</v>
      </c>
    </row>
    <row r="44" ht="14.25" customHeight="1">
      <c r="A44" s="33"/>
      <c r="B44" s="87" t="s">
        <v>49</v>
      </c>
      <c r="C44" s="35">
        <f>SUM(C39:C43)</f>
        <v>1</v>
      </c>
      <c r="D44" s="88"/>
      <c r="E44" s="37">
        <f>SUM(E39:E43)</f>
        <v>0</v>
      </c>
    </row>
    <row r="45" ht="14.25" customHeight="1">
      <c r="A45" s="10"/>
      <c r="B45" s="10"/>
      <c r="C45" s="10"/>
      <c r="D45" s="10"/>
      <c r="E45" s="10"/>
    </row>
    <row r="46" ht="14.25" customHeight="1">
      <c r="A46" s="10"/>
      <c r="B46" s="91" t="s">
        <v>51</v>
      </c>
      <c r="C46" s="92"/>
      <c r="D46" s="92"/>
      <c r="E46" s="93"/>
    </row>
    <row r="47" ht="14.25" customHeight="1">
      <c r="A47" s="10"/>
      <c r="B47" s="109" t="s">
        <v>52</v>
      </c>
      <c r="C47" s="110" t="s">
        <v>53</v>
      </c>
      <c r="D47" s="111"/>
      <c r="E47" s="112"/>
    </row>
    <row r="48" ht="14.25" customHeight="1">
      <c r="A48" s="10"/>
      <c r="B48" s="113"/>
      <c r="C48" s="114"/>
      <c r="D48" s="115"/>
      <c r="E48" s="116"/>
    </row>
    <row r="49" ht="14.25" customHeight="1">
      <c r="A49" s="10"/>
      <c r="B49" s="102"/>
      <c r="C49" s="103"/>
      <c r="E49" s="52"/>
    </row>
    <row r="50" ht="14.25" customHeight="1">
      <c r="A50" s="10"/>
      <c r="B50" s="104"/>
      <c r="C50" s="105"/>
      <c r="D50" s="85"/>
      <c r="E50" s="86"/>
    </row>
    <row r="51" ht="14.25" customHeight="1">
      <c r="A51" s="10"/>
      <c r="B51" s="10"/>
      <c r="C51" s="10"/>
      <c r="D51" s="10"/>
      <c r="E51" s="10"/>
    </row>
    <row r="52" ht="14.25" customHeight="1">
      <c r="A52" s="117" t="s">
        <v>63</v>
      </c>
      <c r="B52" s="69" t="s">
        <v>64</v>
      </c>
      <c r="C52" s="118" t="s">
        <v>41</v>
      </c>
      <c r="D52" s="118" t="s">
        <v>42</v>
      </c>
      <c r="E52" s="119" t="s">
        <v>43</v>
      </c>
    </row>
    <row r="53" ht="14.25" customHeight="1">
      <c r="A53" s="120"/>
      <c r="B53" s="121" t="s">
        <v>44</v>
      </c>
      <c r="C53" s="122"/>
      <c r="D53" s="122"/>
      <c r="E53" s="123"/>
    </row>
    <row r="54" ht="14.25" customHeight="1">
      <c r="A54" s="22">
        <v>1.0</v>
      </c>
      <c r="B54" s="23" t="s">
        <v>65</v>
      </c>
      <c r="C54" s="124">
        <v>0.2</v>
      </c>
      <c r="D54" s="125"/>
      <c r="E54" s="126">
        <f t="shared" ref="E54:E58" si="4">(D54*C54)</f>
        <v>0</v>
      </c>
    </row>
    <row r="55" ht="14.25" customHeight="1">
      <c r="A55" s="22">
        <v>2.0</v>
      </c>
      <c r="B55" s="23" t="s">
        <v>66</v>
      </c>
      <c r="C55" s="124">
        <v>0.2</v>
      </c>
      <c r="D55" s="125"/>
      <c r="E55" s="126">
        <f t="shared" si="4"/>
        <v>0</v>
      </c>
    </row>
    <row r="56" ht="14.25" customHeight="1">
      <c r="A56" s="22">
        <v>3.0</v>
      </c>
      <c r="B56" s="23" t="s">
        <v>67</v>
      </c>
      <c r="C56" s="124">
        <v>0.2</v>
      </c>
      <c r="D56" s="125"/>
      <c r="E56" s="126">
        <f t="shared" si="4"/>
        <v>0</v>
      </c>
    </row>
    <row r="57" ht="14.25" customHeight="1">
      <c r="A57" s="22">
        <v>4.0</v>
      </c>
      <c r="B57" s="23" t="s">
        <v>68</v>
      </c>
      <c r="C57" s="124">
        <v>0.2</v>
      </c>
      <c r="D57" s="125"/>
      <c r="E57" s="126">
        <f t="shared" si="4"/>
        <v>0</v>
      </c>
    </row>
    <row r="58" ht="14.25" customHeight="1">
      <c r="A58" s="22">
        <v>5.0</v>
      </c>
      <c r="B58" s="23" t="s">
        <v>69</v>
      </c>
      <c r="C58" s="124">
        <v>0.2</v>
      </c>
      <c r="D58" s="125"/>
      <c r="E58" s="126">
        <f t="shared" si="4"/>
        <v>0</v>
      </c>
    </row>
    <row r="59" ht="14.25" customHeight="1">
      <c r="A59" s="33"/>
      <c r="B59" s="87" t="s">
        <v>49</v>
      </c>
      <c r="C59" s="35">
        <f>SUM(C54:C58)</f>
        <v>1</v>
      </c>
      <c r="D59" s="88"/>
      <c r="E59" s="37">
        <f>SUM(E54:E58)</f>
        <v>0</v>
      </c>
    </row>
    <row r="60" ht="14.25" customHeight="1">
      <c r="A60" s="127"/>
      <c r="B60" s="127"/>
      <c r="C60" s="127"/>
      <c r="D60" s="127"/>
      <c r="E60" s="127"/>
    </row>
    <row r="61" ht="14.25" customHeight="1">
      <c r="A61" s="127"/>
      <c r="B61" s="91" t="s">
        <v>51</v>
      </c>
      <c r="C61" s="92"/>
      <c r="D61" s="92"/>
      <c r="E61" s="93"/>
    </row>
    <row r="62" ht="14.25" customHeight="1">
      <c r="A62" s="127"/>
      <c r="B62" s="109" t="s">
        <v>52</v>
      </c>
      <c r="C62" s="110" t="s">
        <v>53</v>
      </c>
      <c r="D62" s="111"/>
      <c r="E62" s="112"/>
    </row>
    <row r="63" ht="14.25" customHeight="1">
      <c r="A63" s="127"/>
      <c r="B63" s="128"/>
      <c r="C63" s="129"/>
      <c r="D63" s="115"/>
      <c r="E63" s="116"/>
    </row>
    <row r="64" ht="14.25" customHeight="1">
      <c r="A64" s="127"/>
      <c r="B64" s="102"/>
      <c r="C64" s="103"/>
      <c r="E64" s="52"/>
    </row>
    <row r="65" ht="14.25" customHeight="1">
      <c r="A65" s="127"/>
      <c r="B65" s="104"/>
      <c r="C65" s="105"/>
      <c r="D65" s="85"/>
      <c r="E65" s="86"/>
    </row>
    <row r="66" ht="14.25" customHeight="1">
      <c r="A66" s="127"/>
      <c r="B66" s="130"/>
      <c r="C66" s="131"/>
      <c r="D66" s="131"/>
      <c r="E66" s="131"/>
    </row>
    <row r="67" ht="14.25" customHeight="1">
      <c r="A67" s="10"/>
      <c r="B67" s="10"/>
      <c r="C67" s="10"/>
      <c r="D67" s="10"/>
      <c r="E67" s="10"/>
    </row>
    <row r="68" ht="14.25" customHeight="1">
      <c r="A68" s="117" t="s">
        <v>70</v>
      </c>
      <c r="B68" s="132" t="s">
        <v>71</v>
      </c>
      <c r="C68" s="118" t="s">
        <v>41</v>
      </c>
      <c r="D68" s="118" t="s">
        <v>42</v>
      </c>
      <c r="E68" s="119" t="s">
        <v>43</v>
      </c>
    </row>
    <row r="69" ht="14.25" customHeight="1">
      <c r="A69" s="133"/>
      <c r="B69" s="134" t="s">
        <v>44</v>
      </c>
      <c r="C69" s="135"/>
      <c r="D69" s="135"/>
      <c r="E69" s="136"/>
    </row>
    <row r="70" ht="14.25" customHeight="1">
      <c r="A70" s="137">
        <v>1.0</v>
      </c>
      <c r="B70" s="138" t="s">
        <v>72</v>
      </c>
      <c r="C70" s="139">
        <v>0.15</v>
      </c>
      <c r="D70" s="140"/>
      <c r="E70" s="141">
        <f t="shared" ref="E70:E75" si="5">(D70*C70)</f>
        <v>0</v>
      </c>
    </row>
    <row r="71" ht="14.25" customHeight="1">
      <c r="A71" s="142">
        <v>2.0</v>
      </c>
      <c r="B71" s="143" t="s">
        <v>73</v>
      </c>
      <c r="C71" s="124">
        <v>0.2</v>
      </c>
      <c r="D71" s="125"/>
      <c r="E71" s="144">
        <f t="shared" si="5"/>
        <v>0</v>
      </c>
    </row>
    <row r="72" ht="14.25" customHeight="1">
      <c r="A72" s="145">
        <v>3.0</v>
      </c>
      <c r="B72" s="146" t="s">
        <v>74</v>
      </c>
      <c r="C72" s="147">
        <v>0.3</v>
      </c>
      <c r="D72" s="148"/>
      <c r="E72" s="149">
        <f t="shared" si="5"/>
        <v>0</v>
      </c>
    </row>
    <row r="73" ht="14.25" customHeight="1">
      <c r="A73" s="142">
        <v>4.0</v>
      </c>
      <c r="B73" s="143" t="s">
        <v>75</v>
      </c>
      <c r="C73" s="124">
        <v>0.1</v>
      </c>
      <c r="D73" s="125"/>
      <c r="E73" s="144">
        <f t="shared" si="5"/>
        <v>0</v>
      </c>
    </row>
    <row r="74" ht="14.25" customHeight="1">
      <c r="A74" s="142">
        <v>5.0</v>
      </c>
      <c r="B74" s="143" t="s">
        <v>76</v>
      </c>
      <c r="C74" s="124">
        <v>0.15</v>
      </c>
      <c r="D74" s="125"/>
      <c r="E74" s="144">
        <f t="shared" si="5"/>
        <v>0</v>
      </c>
    </row>
    <row r="75" ht="14.25" customHeight="1">
      <c r="A75" s="142">
        <v>6.0</v>
      </c>
      <c r="B75" s="143" t="s">
        <v>77</v>
      </c>
      <c r="C75" s="124">
        <v>0.1</v>
      </c>
      <c r="D75" s="125"/>
      <c r="E75" s="144">
        <f t="shared" si="5"/>
        <v>0</v>
      </c>
    </row>
    <row r="76" ht="14.25" customHeight="1">
      <c r="A76" s="33"/>
      <c r="B76" s="87" t="s">
        <v>49</v>
      </c>
      <c r="C76" s="35">
        <f>SUM(C70:C75)</f>
        <v>1</v>
      </c>
      <c r="D76" s="88"/>
      <c r="E76" s="37">
        <f>SUM(E70:E75)</f>
        <v>0</v>
      </c>
    </row>
    <row r="77" ht="14.25" customHeight="1">
      <c r="A77" s="150"/>
      <c r="B77" s="151"/>
      <c r="C77" s="152"/>
      <c r="D77" s="153"/>
      <c r="E77" s="154"/>
    </row>
    <row r="78" ht="14.25" customHeight="1">
      <c r="A78" s="127"/>
      <c r="B78" s="91" t="s">
        <v>51</v>
      </c>
      <c r="C78" s="92"/>
      <c r="D78" s="92"/>
      <c r="E78" s="93"/>
    </row>
    <row r="79" ht="14.25" customHeight="1">
      <c r="A79" s="127"/>
      <c r="B79" s="155" t="s">
        <v>52</v>
      </c>
      <c r="C79" s="156" t="s">
        <v>53</v>
      </c>
      <c r="D79" s="60"/>
      <c r="E79" s="61"/>
    </row>
    <row r="80" ht="14.25" customHeight="1">
      <c r="A80" s="127"/>
      <c r="B80" s="128"/>
      <c r="C80" s="129"/>
      <c r="D80" s="115"/>
      <c r="E80" s="116"/>
    </row>
    <row r="81" ht="14.25" customHeight="1">
      <c r="A81" s="127"/>
      <c r="B81" s="102"/>
      <c r="C81" s="103"/>
      <c r="E81" s="52"/>
    </row>
    <row r="82" ht="14.25" customHeight="1">
      <c r="A82" s="127"/>
      <c r="B82" s="104"/>
      <c r="C82" s="105"/>
      <c r="D82" s="85"/>
      <c r="E82" s="86"/>
    </row>
    <row r="83" ht="28.5" customHeight="1">
      <c r="A83" s="41"/>
      <c r="B83" s="42"/>
      <c r="C83" s="157"/>
      <c r="D83" s="41"/>
      <c r="E83" s="158"/>
    </row>
    <row r="84" ht="30.0" customHeight="1">
      <c r="A84" s="117" t="s">
        <v>78</v>
      </c>
      <c r="B84" s="159" t="s">
        <v>79</v>
      </c>
      <c r="C84" s="118" t="s">
        <v>41</v>
      </c>
      <c r="D84" s="118" t="s">
        <v>42</v>
      </c>
      <c r="E84" s="119" t="s">
        <v>43</v>
      </c>
    </row>
    <row r="85" ht="14.25" customHeight="1">
      <c r="A85" s="22">
        <v>1.0</v>
      </c>
      <c r="B85" s="143" t="s">
        <v>80</v>
      </c>
      <c r="C85" s="24">
        <v>0.05</v>
      </c>
      <c r="D85" s="22"/>
      <c r="E85" s="25">
        <f t="shared" ref="E85:E93" si="6">(D85*C85)</f>
        <v>0</v>
      </c>
    </row>
    <row r="86" ht="14.25" customHeight="1">
      <c r="A86" s="22">
        <v>2.0</v>
      </c>
      <c r="B86" s="143" t="s">
        <v>81</v>
      </c>
      <c r="C86" s="24">
        <v>0.15</v>
      </c>
      <c r="D86" s="22"/>
      <c r="E86" s="25">
        <f t="shared" si="6"/>
        <v>0</v>
      </c>
    </row>
    <row r="87" ht="14.25" customHeight="1">
      <c r="A87" s="22">
        <v>3.0</v>
      </c>
      <c r="B87" s="143" t="s">
        <v>82</v>
      </c>
      <c r="C87" s="24">
        <v>0.1</v>
      </c>
      <c r="D87" s="22"/>
      <c r="E87" s="25">
        <f t="shared" si="6"/>
        <v>0</v>
      </c>
    </row>
    <row r="88" ht="14.25" customHeight="1">
      <c r="A88" s="22">
        <v>4.0</v>
      </c>
      <c r="B88" s="143" t="s">
        <v>83</v>
      </c>
      <c r="C88" s="24">
        <v>0.1</v>
      </c>
      <c r="D88" s="22"/>
      <c r="E88" s="25">
        <f t="shared" si="6"/>
        <v>0</v>
      </c>
    </row>
    <row r="89" ht="14.25" customHeight="1">
      <c r="A89" s="22">
        <v>5.0</v>
      </c>
      <c r="B89" s="143" t="s">
        <v>84</v>
      </c>
      <c r="C89" s="24">
        <v>0.1</v>
      </c>
      <c r="D89" s="22"/>
      <c r="E89" s="25">
        <f t="shared" si="6"/>
        <v>0</v>
      </c>
    </row>
    <row r="90" ht="14.25" customHeight="1">
      <c r="A90" s="22">
        <v>6.0</v>
      </c>
      <c r="B90" s="143" t="s">
        <v>85</v>
      </c>
      <c r="C90" s="24">
        <v>0.1</v>
      </c>
      <c r="D90" s="22"/>
      <c r="E90" s="25">
        <f t="shared" si="6"/>
        <v>0</v>
      </c>
    </row>
    <row r="91" ht="14.25" customHeight="1">
      <c r="A91" s="22">
        <v>7.0</v>
      </c>
      <c r="B91" s="143" t="s">
        <v>86</v>
      </c>
      <c r="C91" s="24">
        <v>0.15</v>
      </c>
      <c r="D91" s="22"/>
      <c r="E91" s="25">
        <f t="shared" si="6"/>
        <v>0</v>
      </c>
    </row>
    <row r="92" ht="14.25" customHeight="1">
      <c r="A92" s="22">
        <v>8.0</v>
      </c>
      <c r="B92" s="143" t="s">
        <v>87</v>
      </c>
      <c r="C92" s="24">
        <v>0.15</v>
      </c>
      <c r="D92" s="22"/>
      <c r="E92" s="25">
        <f t="shared" si="6"/>
        <v>0</v>
      </c>
    </row>
    <row r="93" ht="14.25" customHeight="1">
      <c r="A93" s="22">
        <v>9.0</v>
      </c>
      <c r="B93" s="143" t="s">
        <v>88</v>
      </c>
      <c r="C93" s="24">
        <v>0.1</v>
      </c>
      <c r="D93" s="22"/>
      <c r="E93" s="25">
        <f t="shared" si="6"/>
        <v>0</v>
      </c>
    </row>
    <row r="94" ht="14.25" customHeight="1">
      <c r="A94" s="33"/>
      <c r="B94" s="87" t="s">
        <v>49</v>
      </c>
      <c r="C94" s="35">
        <f>SUM(C85:C93)</f>
        <v>1</v>
      </c>
      <c r="D94" s="88"/>
      <c r="E94" s="37">
        <f>SUM(E85:E93)</f>
        <v>0</v>
      </c>
    </row>
    <row r="95" ht="14.25" customHeight="1">
      <c r="A95" s="41"/>
      <c r="B95" s="160"/>
      <c r="C95" s="161"/>
      <c r="D95" s="162"/>
      <c r="E95" s="163"/>
    </row>
    <row r="96" ht="14.25" customHeight="1">
      <c r="A96" s="10"/>
      <c r="B96" s="91" t="s">
        <v>51</v>
      </c>
      <c r="C96" s="92"/>
      <c r="D96" s="92"/>
      <c r="E96" s="93"/>
    </row>
    <row r="97" ht="14.25" customHeight="1">
      <c r="A97" s="10"/>
      <c r="B97" s="155" t="s">
        <v>52</v>
      </c>
      <c r="C97" s="156" t="s">
        <v>53</v>
      </c>
      <c r="D97" s="60"/>
      <c r="E97" s="61"/>
    </row>
    <row r="98" ht="14.25" customHeight="1">
      <c r="A98" s="10"/>
      <c r="B98" s="113"/>
      <c r="C98" s="114"/>
      <c r="D98" s="115"/>
      <c r="E98" s="116"/>
    </row>
    <row r="99" ht="14.25" customHeight="1">
      <c r="A99" s="10"/>
      <c r="B99" s="102"/>
      <c r="C99" s="103"/>
      <c r="E99" s="52"/>
    </row>
    <row r="100" ht="14.25" customHeight="1">
      <c r="A100" s="10"/>
      <c r="B100" s="104"/>
      <c r="C100" s="105"/>
      <c r="D100" s="85"/>
      <c r="E100" s="86"/>
    </row>
    <row r="101" ht="14.25" customHeight="1">
      <c r="A101" s="10"/>
      <c r="B101" s="10"/>
      <c r="C101" s="10"/>
      <c r="D101" s="10"/>
      <c r="E101" s="10"/>
    </row>
    <row r="102" ht="14.25" customHeight="1">
      <c r="A102" s="117" t="s">
        <v>89</v>
      </c>
      <c r="B102" s="164" t="s">
        <v>90</v>
      </c>
      <c r="C102" s="118" t="s">
        <v>41</v>
      </c>
      <c r="D102" s="118" t="s">
        <v>42</v>
      </c>
      <c r="E102" s="119" t="s">
        <v>43</v>
      </c>
    </row>
    <row r="103" ht="14.25" customHeight="1">
      <c r="A103" s="133"/>
      <c r="B103" s="134" t="s">
        <v>44</v>
      </c>
      <c r="C103" s="135"/>
      <c r="D103" s="135"/>
      <c r="E103" s="136"/>
    </row>
    <row r="104" ht="14.25" customHeight="1">
      <c r="A104" s="76" t="s">
        <v>91</v>
      </c>
      <c r="B104" s="165" t="s">
        <v>92</v>
      </c>
      <c r="C104" s="78">
        <v>0.2</v>
      </c>
      <c r="D104" s="79"/>
      <c r="E104" s="80">
        <f t="shared" ref="E104:E106" si="7">(D104*C104)</f>
        <v>0</v>
      </c>
    </row>
    <row r="105" ht="14.25" customHeight="1">
      <c r="A105" s="81" t="s">
        <v>93</v>
      </c>
      <c r="B105" s="143" t="s">
        <v>94</v>
      </c>
      <c r="C105" s="24">
        <v>0.4</v>
      </c>
      <c r="D105" s="22"/>
      <c r="E105" s="83">
        <f t="shared" si="7"/>
        <v>0</v>
      </c>
    </row>
    <row r="106" ht="14.25" customHeight="1">
      <c r="A106" s="81" t="s">
        <v>95</v>
      </c>
      <c r="B106" s="143" t="s">
        <v>96</v>
      </c>
      <c r="C106" s="24">
        <v>0.4</v>
      </c>
      <c r="D106" s="22"/>
      <c r="E106" s="83">
        <f t="shared" si="7"/>
        <v>0</v>
      </c>
    </row>
    <row r="107" ht="14.25" customHeight="1">
      <c r="A107" s="72"/>
      <c r="B107" s="87" t="s">
        <v>49</v>
      </c>
      <c r="C107" s="166">
        <f>SUM(C104:C106)</f>
        <v>1</v>
      </c>
      <c r="D107" s="73" t="s">
        <v>50</v>
      </c>
      <c r="E107" s="167">
        <f>SUM(E104:E106)</f>
        <v>0</v>
      </c>
    </row>
    <row r="108" ht="14.25" customHeight="1">
      <c r="A108" s="10"/>
      <c r="B108" s="10"/>
      <c r="C108" s="10"/>
      <c r="D108" s="10"/>
      <c r="E108" s="10"/>
    </row>
    <row r="109" ht="14.25" customHeight="1">
      <c r="A109" s="10"/>
      <c r="B109" s="91" t="s">
        <v>51</v>
      </c>
      <c r="C109" s="92"/>
      <c r="D109" s="92"/>
      <c r="E109" s="93"/>
    </row>
    <row r="110" ht="14.25" customHeight="1">
      <c r="A110" s="10"/>
      <c r="B110" s="109" t="s">
        <v>52</v>
      </c>
      <c r="C110" s="110" t="s">
        <v>53</v>
      </c>
      <c r="D110" s="111"/>
      <c r="E110" s="112"/>
    </row>
    <row r="111" ht="14.25" customHeight="1">
      <c r="A111" s="10"/>
      <c r="B111" s="113"/>
      <c r="C111" s="114"/>
      <c r="D111" s="115"/>
      <c r="E111" s="116"/>
    </row>
    <row r="112" ht="14.25" customHeight="1">
      <c r="A112" s="10"/>
      <c r="B112" s="102"/>
      <c r="C112" s="103"/>
      <c r="E112" s="52"/>
    </row>
    <row r="113" ht="14.25" customHeight="1">
      <c r="A113" s="10"/>
      <c r="B113" s="104"/>
      <c r="C113" s="105"/>
      <c r="D113" s="85"/>
      <c r="E113" s="86"/>
    </row>
    <row r="114" ht="14.25" customHeight="1">
      <c r="A114" s="10"/>
      <c r="B114" s="168"/>
      <c r="C114" s="169"/>
      <c r="D114" s="169"/>
      <c r="E114" s="169"/>
    </row>
    <row r="115" ht="14.25" customHeight="1">
      <c r="A115" s="10"/>
      <c r="B115" s="20"/>
      <c r="C115" s="170"/>
      <c r="D115" s="170"/>
      <c r="E115" s="170"/>
    </row>
    <row r="116" ht="14.25" customHeight="1">
      <c r="A116" s="10"/>
      <c r="B116" s="42"/>
      <c r="C116" s="171"/>
      <c r="D116" s="171"/>
      <c r="E116" s="171"/>
    </row>
    <row r="117" ht="14.25" customHeight="1">
      <c r="A117" s="10"/>
      <c r="B117" s="42"/>
      <c r="C117" s="171"/>
      <c r="D117" s="171"/>
      <c r="E117" s="171"/>
    </row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A15:E15"/>
    <mergeCell ref="B16:E16"/>
    <mergeCell ref="A1:E1"/>
    <mergeCell ref="H1:L1"/>
    <mergeCell ref="A3:E3"/>
    <mergeCell ref="B5:D5"/>
    <mergeCell ref="H12:L26"/>
    <mergeCell ref="A13:E13"/>
    <mergeCell ref="C14:D14"/>
    <mergeCell ref="B19:E19"/>
    <mergeCell ref="B17:E17"/>
    <mergeCell ref="B18:E18"/>
    <mergeCell ref="B31:E31"/>
    <mergeCell ref="C32:E32"/>
    <mergeCell ref="B33:B35"/>
    <mergeCell ref="C33:E35"/>
    <mergeCell ref="B46:E46"/>
    <mergeCell ref="C47:E47"/>
    <mergeCell ref="B48:B50"/>
    <mergeCell ref="C48:E50"/>
    <mergeCell ref="B61:E61"/>
    <mergeCell ref="C62:E62"/>
    <mergeCell ref="B63:B65"/>
    <mergeCell ref="C63:E65"/>
    <mergeCell ref="C98:E100"/>
    <mergeCell ref="B109:E109"/>
    <mergeCell ref="C110:E110"/>
    <mergeCell ref="B111:B113"/>
    <mergeCell ref="C111:E113"/>
    <mergeCell ref="B78:E78"/>
    <mergeCell ref="C79:E79"/>
    <mergeCell ref="B80:B82"/>
    <mergeCell ref="C80:E82"/>
    <mergeCell ref="B96:E96"/>
    <mergeCell ref="C97:E97"/>
    <mergeCell ref="B98:B100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5.57"/>
    <col customWidth="1" min="3" max="8" width="10.71"/>
    <col customWidth="1" min="9" max="9" width="17.29"/>
    <col customWidth="1" min="10" max="26" width="10.71"/>
  </cols>
  <sheetData>
    <row r="1" ht="21.75" customHeight="1">
      <c r="A1" s="1" t="s">
        <v>0</v>
      </c>
      <c r="B1" s="2"/>
      <c r="C1" s="2"/>
      <c r="D1" s="2"/>
      <c r="E1" s="3"/>
      <c r="H1" s="4" t="s">
        <v>1</v>
      </c>
      <c r="I1" s="5"/>
      <c r="J1" s="5"/>
      <c r="K1" s="5"/>
      <c r="L1" s="6"/>
    </row>
    <row r="2" ht="14.25" customHeight="1">
      <c r="A2" s="7"/>
      <c r="B2" s="8"/>
      <c r="C2" s="8"/>
      <c r="D2" s="8"/>
      <c r="E2" s="9"/>
      <c r="H2" s="10"/>
      <c r="I2" s="10"/>
      <c r="J2" s="10"/>
      <c r="K2" s="11"/>
      <c r="L2" s="11"/>
    </row>
    <row r="3" ht="22.5" customHeight="1">
      <c r="A3" s="12" t="s">
        <v>2</v>
      </c>
      <c r="B3" s="5"/>
      <c r="C3" s="5"/>
      <c r="D3" s="5"/>
      <c r="E3" s="13"/>
      <c r="H3" s="14" t="s">
        <v>3</v>
      </c>
      <c r="I3" s="15" t="s">
        <v>4</v>
      </c>
      <c r="J3" s="16" t="s">
        <v>5</v>
      </c>
      <c r="K3" s="17" t="s">
        <v>6</v>
      </c>
      <c r="L3" s="18" t="s">
        <v>7</v>
      </c>
    </row>
    <row r="4" ht="14.25" customHeight="1">
      <c r="A4" s="19"/>
      <c r="B4" s="20"/>
      <c r="C4" s="20"/>
      <c r="D4" s="20"/>
      <c r="E4" s="21"/>
      <c r="H4" s="22">
        <v>1.0</v>
      </c>
      <c r="I4" s="23" t="s">
        <v>8</v>
      </c>
      <c r="J4" s="24">
        <v>0.2</v>
      </c>
      <c r="K4" s="25">
        <f>E29</f>
        <v>0</v>
      </c>
      <c r="L4" s="25">
        <f t="shared" ref="L4:L9" si="1">(K4*J4)</f>
        <v>0</v>
      </c>
    </row>
    <row r="5" ht="14.25" customHeight="1">
      <c r="A5" s="19"/>
      <c r="B5" s="26" t="s">
        <v>9</v>
      </c>
      <c r="C5" s="5"/>
      <c r="D5" s="6"/>
      <c r="E5" s="21"/>
      <c r="H5" s="22">
        <v>2.0</v>
      </c>
      <c r="I5" s="23" t="s">
        <v>10</v>
      </c>
      <c r="J5" s="24">
        <v>0.1</v>
      </c>
      <c r="K5" s="25">
        <f>E44</f>
        <v>0</v>
      </c>
      <c r="L5" s="25">
        <f t="shared" si="1"/>
        <v>0</v>
      </c>
    </row>
    <row r="6" ht="14.25" customHeight="1">
      <c r="A6" s="19"/>
      <c r="B6" s="27" t="s">
        <v>11</v>
      </c>
      <c r="C6" s="28" t="s">
        <v>12</v>
      </c>
      <c r="D6" s="29" t="s">
        <v>13</v>
      </c>
      <c r="E6" s="21"/>
      <c r="H6" s="22">
        <v>3.0</v>
      </c>
      <c r="I6" s="23" t="s">
        <v>14</v>
      </c>
      <c r="J6" s="24">
        <v>0.1</v>
      </c>
      <c r="K6" s="25">
        <f>E59</f>
        <v>0</v>
      </c>
      <c r="L6" s="25">
        <f t="shared" si="1"/>
        <v>0</v>
      </c>
    </row>
    <row r="7" ht="14.25" customHeight="1">
      <c r="A7" s="19"/>
      <c r="B7" s="30" t="s">
        <v>15</v>
      </c>
      <c r="C7" s="31" t="s">
        <v>16</v>
      </c>
      <c r="D7" s="32">
        <v>1.0</v>
      </c>
      <c r="E7" s="21"/>
      <c r="H7" s="22">
        <v>4.0</v>
      </c>
      <c r="I7" s="23" t="s">
        <v>17</v>
      </c>
      <c r="J7" s="24">
        <v>0.1</v>
      </c>
      <c r="K7" s="25">
        <f>E76</f>
        <v>0</v>
      </c>
      <c r="L7" s="25">
        <f t="shared" si="1"/>
        <v>0</v>
      </c>
    </row>
    <row r="8" ht="14.25" customHeight="1">
      <c r="A8" s="19"/>
      <c r="B8" s="30" t="s">
        <v>18</v>
      </c>
      <c r="C8" s="31" t="s">
        <v>19</v>
      </c>
      <c r="D8" s="32">
        <v>2.0</v>
      </c>
      <c r="E8" s="21"/>
      <c r="H8" s="22">
        <v>5.0</v>
      </c>
      <c r="I8" s="23" t="s">
        <v>20</v>
      </c>
      <c r="J8" s="24">
        <v>0.2</v>
      </c>
      <c r="K8" s="25">
        <f>E94</f>
        <v>0</v>
      </c>
      <c r="L8" s="25">
        <f t="shared" si="1"/>
        <v>0</v>
      </c>
    </row>
    <row r="9" ht="14.25" customHeight="1">
      <c r="A9" s="19"/>
      <c r="B9" s="30" t="s">
        <v>21</v>
      </c>
      <c r="C9" s="31" t="s">
        <v>22</v>
      </c>
      <c r="D9" s="32">
        <v>3.0</v>
      </c>
      <c r="E9" s="21"/>
      <c r="H9" s="22">
        <v>6.0</v>
      </c>
      <c r="I9" s="23" t="s">
        <v>23</v>
      </c>
      <c r="J9" s="24">
        <v>0.3</v>
      </c>
      <c r="K9" s="25">
        <f>E107</f>
        <v>0</v>
      </c>
      <c r="L9" s="25">
        <f t="shared" si="1"/>
        <v>0</v>
      </c>
    </row>
    <row r="10" ht="14.25" customHeight="1">
      <c r="A10" s="19"/>
      <c r="B10" s="30" t="s">
        <v>24</v>
      </c>
      <c r="C10" s="31" t="s">
        <v>25</v>
      </c>
      <c r="D10" s="32">
        <v>4.0</v>
      </c>
      <c r="E10" s="21"/>
      <c r="H10" s="33"/>
      <c r="I10" s="34" t="s">
        <v>26</v>
      </c>
      <c r="J10" s="35">
        <f>SUM(J4:J9)</f>
        <v>1</v>
      </c>
      <c r="K10" s="36"/>
      <c r="L10" s="37">
        <f>SUM(L7:L9)</f>
        <v>0</v>
      </c>
    </row>
    <row r="11" ht="14.25" customHeight="1">
      <c r="A11" s="19"/>
      <c r="B11" s="38" t="s">
        <v>27</v>
      </c>
      <c r="C11" s="39" t="s">
        <v>28</v>
      </c>
      <c r="D11" s="40">
        <v>5.0</v>
      </c>
      <c r="E11" s="21"/>
      <c r="H11" s="41"/>
      <c r="I11" s="42"/>
      <c r="J11" s="43"/>
      <c r="K11" s="44"/>
      <c r="L11" s="45"/>
    </row>
    <row r="12" ht="14.25" customHeight="1">
      <c r="A12" s="46"/>
      <c r="B12" s="42"/>
      <c r="C12" s="44"/>
      <c r="D12" s="44"/>
      <c r="E12" s="47"/>
      <c r="H12" s="48" t="s">
        <v>29</v>
      </c>
      <c r="I12" s="49"/>
      <c r="J12" s="49"/>
      <c r="K12" s="49"/>
      <c r="L12" s="50"/>
    </row>
    <row r="13" ht="14.25" customHeight="1">
      <c r="A13" s="51" t="s">
        <v>30</v>
      </c>
      <c r="E13" s="52"/>
      <c r="H13" s="53"/>
      <c r="L13" s="52"/>
    </row>
    <row r="14" ht="14.25" customHeight="1">
      <c r="A14" s="54"/>
      <c r="B14" s="55"/>
      <c r="C14" s="56"/>
      <c r="D14" s="57"/>
      <c r="E14" s="58"/>
      <c r="H14" s="53"/>
      <c r="L14" s="52"/>
    </row>
    <row r="15" ht="14.25" customHeight="1">
      <c r="A15" s="59" t="s">
        <v>31</v>
      </c>
      <c r="B15" s="60"/>
      <c r="C15" s="60"/>
      <c r="D15" s="60"/>
      <c r="E15" s="61"/>
      <c r="H15" s="53"/>
      <c r="L15" s="52"/>
    </row>
    <row r="16" ht="14.25" customHeight="1">
      <c r="A16" s="62" t="s">
        <v>32</v>
      </c>
      <c r="B16" s="63"/>
      <c r="C16" s="2"/>
      <c r="D16" s="2"/>
      <c r="E16" s="3"/>
      <c r="H16" s="53"/>
      <c r="L16" s="52"/>
    </row>
    <row r="17" ht="14.25" customHeight="1">
      <c r="A17" s="64" t="s">
        <v>34</v>
      </c>
      <c r="B17" s="172"/>
      <c r="C17" s="60"/>
      <c r="D17" s="60"/>
      <c r="E17" s="61"/>
      <c r="H17" s="53"/>
      <c r="L17" s="52"/>
    </row>
    <row r="18" ht="14.25" customHeight="1">
      <c r="A18" s="62" t="s">
        <v>36</v>
      </c>
      <c r="B18" s="173"/>
      <c r="C18" s="2"/>
      <c r="D18" s="2"/>
      <c r="E18" s="3"/>
      <c r="H18" s="53"/>
      <c r="L18" s="52"/>
    </row>
    <row r="19" ht="14.25" customHeight="1">
      <c r="A19" s="64" t="s">
        <v>38</v>
      </c>
      <c r="B19" s="67">
        <f>L10</f>
        <v>0</v>
      </c>
      <c r="C19" s="60"/>
      <c r="D19" s="60"/>
      <c r="E19" s="61"/>
      <c r="H19" s="53"/>
      <c r="L19" s="52"/>
    </row>
    <row r="20" ht="14.25" customHeight="1">
      <c r="A20" s="68"/>
      <c r="B20" s="68"/>
      <c r="C20" s="10"/>
      <c r="D20" s="10"/>
      <c r="E20" s="10"/>
      <c r="H20" s="53"/>
      <c r="L20" s="52"/>
    </row>
    <row r="21" ht="14.25" customHeight="1">
      <c r="A21" s="42"/>
      <c r="B21" s="42"/>
      <c r="C21" s="10"/>
      <c r="D21" s="10"/>
      <c r="E21" s="10"/>
      <c r="H21" s="53"/>
      <c r="L21" s="52"/>
    </row>
    <row r="22" ht="14.25" customHeight="1">
      <c r="A22" s="42"/>
      <c r="B22" s="42"/>
      <c r="C22" s="10"/>
      <c r="D22" s="10"/>
      <c r="E22" s="10"/>
      <c r="H22" s="53"/>
      <c r="L22" s="52"/>
    </row>
    <row r="23" ht="14.25" customHeight="1">
      <c r="A23" s="14" t="s">
        <v>39</v>
      </c>
      <c r="B23" s="69" t="s">
        <v>40</v>
      </c>
      <c r="C23" s="70" t="s">
        <v>41</v>
      </c>
      <c r="D23" s="70" t="s">
        <v>42</v>
      </c>
      <c r="E23" s="71" t="s">
        <v>43</v>
      </c>
      <c r="H23" s="53"/>
      <c r="L23" s="52"/>
    </row>
    <row r="24" ht="14.25" customHeight="1">
      <c r="A24" s="72"/>
      <c r="B24" s="73" t="s">
        <v>44</v>
      </c>
      <c r="C24" s="74"/>
      <c r="D24" s="74"/>
      <c r="E24" s="75"/>
      <c r="H24" s="53"/>
      <c r="L24" s="52"/>
    </row>
    <row r="25" ht="14.25" customHeight="1">
      <c r="A25" s="76">
        <v>1.0</v>
      </c>
      <c r="B25" s="77" t="s">
        <v>45</v>
      </c>
      <c r="C25" s="78">
        <v>0.2</v>
      </c>
      <c r="D25" s="79"/>
      <c r="E25" s="80">
        <f t="shared" ref="E25:E28" si="2">(D25*C25)</f>
        <v>0</v>
      </c>
      <c r="H25" s="53"/>
      <c r="L25" s="52"/>
    </row>
    <row r="26" ht="14.25" customHeight="1">
      <c r="A26" s="81">
        <v>2.0</v>
      </c>
      <c r="B26" s="82" t="s">
        <v>46</v>
      </c>
      <c r="C26" s="24">
        <v>0.3</v>
      </c>
      <c r="D26" s="22"/>
      <c r="E26" s="83">
        <f t="shared" si="2"/>
        <v>0</v>
      </c>
      <c r="H26" s="84"/>
      <c r="I26" s="85"/>
      <c r="J26" s="85"/>
      <c r="K26" s="85"/>
      <c r="L26" s="86"/>
    </row>
    <row r="27" ht="14.25" customHeight="1">
      <c r="A27" s="81">
        <v>3.0</v>
      </c>
      <c r="B27" s="82" t="s">
        <v>47</v>
      </c>
      <c r="C27" s="24">
        <v>0.2</v>
      </c>
      <c r="D27" s="22"/>
      <c r="E27" s="83">
        <f t="shared" si="2"/>
        <v>0</v>
      </c>
    </row>
    <row r="28" ht="14.25" customHeight="1">
      <c r="A28" s="81">
        <v>4.0</v>
      </c>
      <c r="B28" s="82" t="s">
        <v>48</v>
      </c>
      <c r="C28" s="24">
        <v>0.3</v>
      </c>
      <c r="D28" s="22"/>
      <c r="E28" s="83">
        <f t="shared" si="2"/>
        <v>0</v>
      </c>
    </row>
    <row r="29" ht="14.25" customHeight="1">
      <c r="A29" s="33"/>
      <c r="B29" s="87" t="s">
        <v>49</v>
      </c>
      <c r="C29" s="35">
        <f>SUM(C25:C28)</f>
        <v>1</v>
      </c>
      <c r="D29" s="88" t="s">
        <v>50</v>
      </c>
      <c r="E29" s="37">
        <f>SUM(E25:E28)</f>
        <v>0</v>
      </c>
    </row>
    <row r="30" ht="14.25" customHeight="1">
      <c r="A30" s="41"/>
      <c r="B30" s="68"/>
      <c r="C30" s="89"/>
      <c r="D30" s="44"/>
      <c r="E30" s="90"/>
    </row>
    <row r="31" ht="14.25" customHeight="1">
      <c r="A31" s="41"/>
      <c r="B31" s="91" t="s">
        <v>51</v>
      </c>
      <c r="C31" s="92"/>
      <c r="D31" s="92"/>
      <c r="E31" s="93"/>
    </row>
    <row r="32" ht="14.25" customHeight="1">
      <c r="A32" s="41"/>
      <c r="B32" s="94" t="s">
        <v>52</v>
      </c>
      <c r="C32" s="95" t="s">
        <v>53</v>
      </c>
      <c r="D32" s="96"/>
      <c r="E32" s="97"/>
    </row>
    <row r="33" ht="14.25" customHeight="1">
      <c r="A33" s="41"/>
      <c r="B33" s="98"/>
      <c r="C33" s="99"/>
      <c r="D33" s="100"/>
      <c r="E33" s="101"/>
    </row>
    <row r="34" ht="14.25" customHeight="1">
      <c r="A34" s="41"/>
      <c r="B34" s="102"/>
      <c r="C34" s="103"/>
      <c r="E34" s="52"/>
    </row>
    <row r="35" ht="14.25" customHeight="1">
      <c r="A35" s="10"/>
      <c r="B35" s="104"/>
      <c r="C35" s="105"/>
      <c r="D35" s="85"/>
      <c r="E35" s="86"/>
    </row>
    <row r="36" ht="14.25" customHeight="1">
      <c r="A36" s="10"/>
      <c r="B36" s="10"/>
      <c r="C36" s="10"/>
      <c r="D36" s="10"/>
      <c r="E36" s="10"/>
    </row>
    <row r="37" ht="14.25" customHeight="1">
      <c r="A37" s="14" t="s">
        <v>56</v>
      </c>
      <c r="B37" s="69" t="s">
        <v>57</v>
      </c>
      <c r="C37" s="70" t="s">
        <v>41</v>
      </c>
      <c r="D37" s="70" t="s">
        <v>42</v>
      </c>
      <c r="E37" s="71" t="s">
        <v>43</v>
      </c>
    </row>
    <row r="38" ht="14.25" customHeight="1">
      <c r="A38" s="106"/>
      <c r="B38" s="16" t="s">
        <v>44</v>
      </c>
      <c r="C38" s="107"/>
      <c r="D38" s="107"/>
      <c r="E38" s="108"/>
    </row>
    <row r="39" ht="14.25" customHeight="1">
      <c r="A39" s="22">
        <v>1.0</v>
      </c>
      <c r="B39" s="23" t="s">
        <v>58</v>
      </c>
      <c r="C39" s="24">
        <v>0.25</v>
      </c>
      <c r="D39" s="22"/>
      <c r="E39" s="25">
        <f t="shared" ref="E39:E43" si="3">(D39*C39)</f>
        <v>0</v>
      </c>
    </row>
    <row r="40" ht="14.25" customHeight="1">
      <c r="A40" s="22">
        <v>2.0</v>
      </c>
      <c r="B40" s="23" t="s">
        <v>59</v>
      </c>
      <c r="C40" s="24">
        <v>0.25</v>
      </c>
      <c r="D40" s="22"/>
      <c r="E40" s="25">
        <f t="shared" si="3"/>
        <v>0</v>
      </c>
    </row>
    <row r="41" ht="14.25" customHeight="1">
      <c r="A41" s="22">
        <v>3.0</v>
      </c>
      <c r="B41" s="23" t="s">
        <v>60</v>
      </c>
      <c r="C41" s="24">
        <v>0.2</v>
      </c>
      <c r="D41" s="22"/>
      <c r="E41" s="25">
        <f t="shared" si="3"/>
        <v>0</v>
      </c>
    </row>
    <row r="42" ht="14.25" customHeight="1">
      <c r="A42" s="22">
        <v>4.0</v>
      </c>
      <c r="B42" s="23" t="s">
        <v>61</v>
      </c>
      <c r="C42" s="24">
        <v>0.1</v>
      </c>
      <c r="D42" s="22"/>
      <c r="E42" s="25">
        <f t="shared" si="3"/>
        <v>0</v>
      </c>
    </row>
    <row r="43" ht="14.25" customHeight="1">
      <c r="A43" s="22">
        <v>5.0</v>
      </c>
      <c r="B43" s="23" t="s">
        <v>62</v>
      </c>
      <c r="C43" s="24">
        <v>0.2</v>
      </c>
      <c r="D43" s="22"/>
      <c r="E43" s="25">
        <f t="shared" si="3"/>
        <v>0</v>
      </c>
    </row>
    <row r="44" ht="14.25" customHeight="1">
      <c r="A44" s="33"/>
      <c r="B44" s="87" t="s">
        <v>49</v>
      </c>
      <c r="C44" s="35">
        <f>SUM(C39:C43)</f>
        <v>1</v>
      </c>
      <c r="D44" s="88"/>
      <c r="E44" s="37">
        <f>SUM(E39:E43)</f>
        <v>0</v>
      </c>
    </row>
    <row r="45" ht="14.25" customHeight="1">
      <c r="A45" s="10"/>
      <c r="B45" s="10"/>
      <c r="C45" s="10"/>
      <c r="D45" s="10"/>
      <c r="E45" s="10"/>
    </row>
    <row r="46" ht="14.25" customHeight="1">
      <c r="A46" s="10"/>
      <c r="B46" s="91" t="s">
        <v>51</v>
      </c>
      <c r="C46" s="92"/>
      <c r="D46" s="92"/>
      <c r="E46" s="93"/>
    </row>
    <row r="47" ht="14.25" customHeight="1">
      <c r="A47" s="10"/>
      <c r="B47" s="109" t="s">
        <v>52</v>
      </c>
      <c r="C47" s="110" t="s">
        <v>53</v>
      </c>
      <c r="D47" s="111"/>
      <c r="E47" s="112"/>
    </row>
    <row r="48" ht="14.25" customHeight="1">
      <c r="A48" s="10"/>
      <c r="B48" s="113"/>
      <c r="C48" s="114"/>
      <c r="D48" s="115"/>
      <c r="E48" s="116"/>
    </row>
    <row r="49" ht="14.25" customHeight="1">
      <c r="A49" s="10"/>
      <c r="B49" s="102"/>
      <c r="C49" s="103"/>
      <c r="E49" s="52"/>
    </row>
    <row r="50" ht="14.25" customHeight="1">
      <c r="A50" s="10"/>
      <c r="B50" s="104"/>
      <c r="C50" s="105"/>
      <c r="D50" s="85"/>
      <c r="E50" s="86"/>
    </row>
    <row r="51" ht="14.25" customHeight="1">
      <c r="A51" s="10"/>
      <c r="B51" s="10"/>
      <c r="C51" s="10"/>
      <c r="D51" s="10"/>
      <c r="E51" s="10"/>
    </row>
    <row r="52" ht="14.25" customHeight="1">
      <c r="A52" s="117" t="s">
        <v>63</v>
      </c>
      <c r="B52" s="69" t="s">
        <v>64</v>
      </c>
      <c r="C52" s="118" t="s">
        <v>41</v>
      </c>
      <c r="D52" s="118" t="s">
        <v>42</v>
      </c>
      <c r="E52" s="119" t="s">
        <v>43</v>
      </c>
    </row>
    <row r="53" ht="14.25" customHeight="1">
      <c r="A53" s="120"/>
      <c r="B53" s="121" t="s">
        <v>44</v>
      </c>
      <c r="C53" s="122"/>
      <c r="D53" s="122"/>
      <c r="E53" s="123"/>
    </row>
    <row r="54" ht="14.25" customHeight="1">
      <c r="A54" s="22">
        <v>1.0</v>
      </c>
      <c r="B54" s="23" t="s">
        <v>65</v>
      </c>
      <c r="C54" s="124">
        <v>0.2</v>
      </c>
      <c r="D54" s="125"/>
      <c r="E54" s="126">
        <f t="shared" ref="E54:E58" si="4">(D54*C54)</f>
        <v>0</v>
      </c>
    </row>
    <row r="55" ht="14.25" customHeight="1">
      <c r="A55" s="22">
        <v>2.0</v>
      </c>
      <c r="B55" s="23" t="s">
        <v>66</v>
      </c>
      <c r="C55" s="124">
        <v>0.2</v>
      </c>
      <c r="D55" s="125"/>
      <c r="E55" s="126">
        <f t="shared" si="4"/>
        <v>0</v>
      </c>
    </row>
    <row r="56" ht="14.25" customHeight="1">
      <c r="A56" s="22">
        <v>3.0</v>
      </c>
      <c r="B56" s="23" t="s">
        <v>67</v>
      </c>
      <c r="C56" s="124">
        <v>0.2</v>
      </c>
      <c r="D56" s="125"/>
      <c r="E56" s="126">
        <f t="shared" si="4"/>
        <v>0</v>
      </c>
    </row>
    <row r="57" ht="14.25" customHeight="1">
      <c r="A57" s="22">
        <v>4.0</v>
      </c>
      <c r="B57" s="23" t="s">
        <v>68</v>
      </c>
      <c r="C57" s="124">
        <v>0.2</v>
      </c>
      <c r="D57" s="125"/>
      <c r="E57" s="126">
        <f t="shared" si="4"/>
        <v>0</v>
      </c>
    </row>
    <row r="58" ht="14.25" customHeight="1">
      <c r="A58" s="22">
        <v>5.0</v>
      </c>
      <c r="B58" s="23" t="s">
        <v>69</v>
      </c>
      <c r="C58" s="124">
        <v>0.2</v>
      </c>
      <c r="D58" s="125"/>
      <c r="E58" s="126">
        <f t="shared" si="4"/>
        <v>0</v>
      </c>
    </row>
    <row r="59" ht="14.25" customHeight="1">
      <c r="A59" s="33"/>
      <c r="B59" s="87" t="s">
        <v>49</v>
      </c>
      <c r="C59" s="35">
        <f>SUM(C54:C58)</f>
        <v>1</v>
      </c>
      <c r="D59" s="88"/>
      <c r="E59" s="37">
        <f>SUM(E54:E58)</f>
        <v>0</v>
      </c>
    </row>
    <row r="60" ht="14.25" customHeight="1">
      <c r="A60" s="127"/>
      <c r="B60" s="127"/>
      <c r="C60" s="127"/>
      <c r="D60" s="127"/>
      <c r="E60" s="127"/>
    </row>
    <row r="61" ht="14.25" customHeight="1">
      <c r="A61" s="127"/>
      <c r="B61" s="91" t="s">
        <v>51</v>
      </c>
      <c r="C61" s="92"/>
      <c r="D61" s="92"/>
      <c r="E61" s="93"/>
    </row>
    <row r="62" ht="14.25" customHeight="1">
      <c r="A62" s="127"/>
      <c r="B62" s="109" t="s">
        <v>52</v>
      </c>
      <c r="C62" s="110" t="s">
        <v>53</v>
      </c>
      <c r="D62" s="111"/>
      <c r="E62" s="112"/>
    </row>
    <row r="63" ht="14.25" customHeight="1">
      <c r="A63" s="127"/>
      <c r="B63" s="128"/>
      <c r="C63" s="129"/>
      <c r="D63" s="115"/>
      <c r="E63" s="116"/>
    </row>
    <row r="64" ht="14.25" customHeight="1">
      <c r="A64" s="127"/>
      <c r="B64" s="102"/>
      <c r="C64" s="103"/>
      <c r="E64" s="52"/>
    </row>
    <row r="65" ht="14.25" customHeight="1">
      <c r="A65" s="127"/>
      <c r="B65" s="104"/>
      <c r="C65" s="105"/>
      <c r="D65" s="85"/>
      <c r="E65" s="86"/>
    </row>
    <row r="66" ht="14.25" customHeight="1">
      <c r="A66" s="127"/>
      <c r="B66" s="130"/>
      <c r="C66" s="131"/>
      <c r="D66" s="131"/>
      <c r="E66" s="131"/>
    </row>
    <row r="67" ht="14.25" customHeight="1">
      <c r="A67" s="10"/>
      <c r="B67" s="10"/>
      <c r="C67" s="10"/>
      <c r="D67" s="10"/>
      <c r="E67" s="10"/>
    </row>
    <row r="68" ht="14.25" customHeight="1">
      <c r="A68" s="117" t="s">
        <v>70</v>
      </c>
      <c r="B68" s="132" t="s">
        <v>71</v>
      </c>
      <c r="C68" s="118" t="s">
        <v>41</v>
      </c>
      <c r="D68" s="118" t="s">
        <v>42</v>
      </c>
      <c r="E68" s="119" t="s">
        <v>43</v>
      </c>
    </row>
    <row r="69" ht="14.25" customHeight="1">
      <c r="A69" s="133"/>
      <c r="B69" s="134" t="s">
        <v>44</v>
      </c>
      <c r="C69" s="135"/>
      <c r="D69" s="135"/>
      <c r="E69" s="136"/>
    </row>
    <row r="70" ht="14.25" customHeight="1">
      <c r="A70" s="137">
        <v>1.0</v>
      </c>
      <c r="B70" s="138" t="s">
        <v>72</v>
      </c>
      <c r="C70" s="139">
        <v>0.15</v>
      </c>
      <c r="D70" s="140"/>
      <c r="E70" s="141">
        <f t="shared" ref="E70:E75" si="5">(D70*C70)</f>
        <v>0</v>
      </c>
    </row>
    <row r="71" ht="14.25" customHeight="1">
      <c r="A71" s="142">
        <v>2.0</v>
      </c>
      <c r="B71" s="143" t="s">
        <v>73</v>
      </c>
      <c r="C71" s="124">
        <v>0.2</v>
      </c>
      <c r="D71" s="125"/>
      <c r="E71" s="144">
        <f t="shared" si="5"/>
        <v>0</v>
      </c>
    </row>
    <row r="72" ht="14.25" customHeight="1">
      <c r="A72" s="145">
        <v>3.0</v>
      </c>
      <c r="B72" s="146" t="s">
        <v>74</v>
      </c>
      <c r="C72" s="147">
        <v>0.3</v>
      </c>
      <c r="D72" s="148"/>
      <c r="E72" s="149">
        <f t="shared" si="5"/>
        <v>0</v>
      </c>
    </row>
    <row r="73" ht="14.25" customHeight="1">
      <c r="A73" s="142">
        <v>4.0</v>
      </c>
      <c r="B73" s="143" t="s">
        <v>75</v>
      </c>
      <c r="C73" s="124">
        <v>0.1</v>
      </c>
      <c r="D73" s="125"/>
      <c r="E73" s="144">
        <f t="shared" si="5"/>
        <v>0</v>
      </c>
    </row>
    <row r="74" ht="14.25" customHeight="1">
      <c r="A74" s="142">
        <v>5.0</v>
      </c>
      <c r="B74" s="143" t="s">
        <v>76</v>
      </c>
      <c r="C74" s="124">
        <v>0.15</v>
      </c>
      <c r="D74" s="125"/>
      <c r="E74" s="144">
        <f t="shared" si="5"/>
        <v>0</v>
      </c>
    </row>
    <row r="75" ht="14.25" customHeight="1">
      <c r="A75" s="142">
        <v>6.0</v>
      </c>
      <c r="B75" s="143" t="s">
        <v>77</v>
      </c>
      <c r="C75" s="124">
        <v>0.1</v>
      </c>
      <c r="D75" s="125"/>
      <c r="E75" s="144">
        <f t="shared" si="5"/>
        <v>0</v>
      </c>
    </row>
    <row r="76" ht="14.25" customHeight="1">
      <c r="A76" s="33"/>
      <c r="B76" s="87" t="s">
        <v>49</v>
      </c>
      <c r="C76" s="35">
        <f>SUM(C70:C75)</f>
        <v>1</v>
      </c>
      <c r="D76" s="88"/>
      <c r="E76" s="37">
        <f>SUM(E70:E75)</f>
        <v>0</v>
      </c>
    </row>
    <row r="77" ht="14.25" customHeight="1">
      <c r="A77" s="150"/>
      <c r="B77" s="151"/>
      <c r="C77" s="152"/>
      <c r="D77" s="153"/>
      <c r="E77" s="154"/>
    </row>
    <row r="78" ht="14.25" customHeight="1">
      <c r="A78" s="127"/>
      <c r="B78" s="91" t="s">
        <v>51</v>
      </c>
      <c r="C78" s="92"/>
      <c r="D78" s="92"/>
      <c r="E78" s="93"/>
    </row>
    <row r="79" ht="14.25" customHeight="1">
      <c r="A79" s="127"/>
      <c r="B79" s="155" t="s">
        <v>52</v>
      </c>
      <c r="C79" s="156" t="s">
        <v>53</v>
      </c>
      <c r="D79" s="60"/>
      <c r="E79" s="61"/>
    </row>
    <row r="80" ht="14.25" customHeight="1">
      <c r="A80" s="127"/>
      <c r="B80" s="128"/>
      <c r="C80" s="129"/>
      <c r="D80" s="115"/>
      <c r="E80" s="116"/>
    </row>
    <row r="81" ht="14.25" customHeight="1">
      <c r="A81" s="127"/>
      <c r="B81" s="102"/>
      <c r="C81" s="103"/>
      <c r="E81" s="52"/>
    </row>
    <row r="82" ht="14.25" customHeight="1">
      <c r="A82" s="127"/>
      <c r="B82" s="104"/>
      <c r="C82" s="105"/>
      <c r="D82" s="85"/>
      <c r="E82" s="86"/>
    </row>
    <row r="83" ht="28.5" customHeight="1">
      <c r="A83" s="41"/>
      <c r="B83" s="42"/>
      <c r="C83" s="157"/>
      <c r="D83" s="41"/>
      <c r="E83" s="158"/>
    </row>
    <row r="84" ht="30.0" customHeight="1">
      <c r="A84" s="117" t="s">
        <v>78</v>
      </c>
      <c r="B84" s="159" t="s">
        <v>79</v>
      </c>
      <c r="C84" s="118" t="s">
        <v>41</v>
      </c>
      <c r="D84" s="118" t="s">
        <v>42</v>
      </c>
      <c r="E84" s="119" t="s">
        <v>43</v>
      </c>
    </row>
    <row r="85" ht="14.25" customHeight="1">
      <c r="A85" s="22">
        <v>1.0</v>
      </c>
      <c r="B85" s="143" t="s">
        <v>80</v>
      </c>
      <c r="C85" s="24">
        <v>0.05</v>
      </c>
      <c r="D85" s="22"/>
      <c r="E85" s="25">
        <f t="shared" ref="E85:E93" si="6">(D85*C85)</f>
        <v>0</v>
      </c>
    </row>
    <row r="86" ht="14.25" customHeight="1">
      <c r="A86" s="22">
        <v>2.0</v>
      </c>
      <c r="B86" s="143" t="s">
        <v>81</v>
      </c>
      <c r="C86" s="24">
        <v>0.15</v>
      </c>
      <c r="D86" s="22"/>
      <c r="E86" s="25">
        <f t="shared" si="6"/>
        <v>0</v>
      </c>
    </row>
    <row r="87" ht="14.25" customHeight="1">
      <c r="A87" s="22">
        <v>3.0</v>
      </c>
      <c r="B87" s="143" t="s">
        <v>82</v>
      </c>
      <c r="C87" s="24">
        <v>0.1</v>
      </c>
      <c r="D87" s="22"/>
      <c r="E87" s="25">
        <f t="shared" si="6"/>
        <v>0</v>
      </c>
    </row>
    <row r="88" ht="14.25" customHeight="1">
      <c r="A88" s="22">
        <v>4.0</v>
      </c>
      <c r="B88" s="143" t="s">
        <v>83</v>
      </c>
      <c r="C88" s="24">
        <v>0.1</v>
      </c>
      <c r="D88" s="22"/>
      <c r="E88" s="25">
        <f t="shared" si="6"/>
        <v>0</v>
      </c>
    </row>
    <row r="89" ht="14.25" customHeight="1">
      <c r="A89" s="22">
        <v>5.0</v>
      </c>
      <c r="B89" s="143" t="s">
        <v>84</v>
      </c>
      <c r="C89" s="24">
        <v>0.1</v>
      </c>
      <c r="D89" s="22"/>
      <c r="E89" s="25">
        <f t="shared" si="6"/>
        <v>0</v>
      </c>
    </row>
    <row r="90" ht="14.25" customHeight="1">
      <c r="A90" s="22">
        <v>6.0</v>
      </c>
      <c r="B90" s="143" t="s">
        <v>85</v>
      </c>
      <c r="C90" s="24">
        <v>0.1</v>
      </c>
      <c r="D90" s="22"/>
      <c r="E90" s="25">
        <f t="shared" si="6"/>
        <v>0</v>
      </c>
    </row>
    <row r="91" ht="14.25" customHeight="1">
      <c r="A91" s="22">
        <v>7.0</v>
      </c>
      <c r="B91" s="143" t="s">
        <v>86</v>
      </c>
      <c r="C91" s="24">
        <v>0.15</v>
      </c>
      <c r="D91" s="22"/>
      <c r="E91" s="25">
        <f t="shared" si="6"/>
        <v>0</v>
      </c>
    </row>
    <row r="92" ht="14.25" customHeight="1">
      <c r="A92" s="22">
        <v>8.0</v>
      </c>
      <c r="B92" s="143" t="s">
        <v>87</v>
      </c>
      <c r="C92" s="24">
        <v>0.15</v>
      </c>
      <c r="D92" s="22"/>
      <c r="E92" s="25">
        <f t="shared" si="6"/>
        <v>0</v>
      </c>
    </row>
    <row r="93" ht="14.25" customHeight="1">
      <c r="A93" s="22">
        <v>9.0</v>
      </c>
      <c r="B93" s="143" t="s">
        <v>88</v>
      </c>
      <c r="C93" s="24">
        <v>0.1</v>
      </c>
      <c r="D93" s="22"/>
      <c r="E93" s="25">
        <f t="shared" si="6"/>
        <v>0</v>
      </c>
    </row>
    <row r="94" ht="14.25" customHeight="1">
      <c r="A94" s="33"/>
      <c r="B94" s="87" t="s">
        <v>49</v>
      </c>
      <c r="C94" s="35">
        <f>SUM(C85:C93)</f>
        <v>1</v>
      </c>
      <c r="D94" s="88"/>
      <c r="E94" s="37">
        <f>SUM(E85:E93)</f>
        <v>0</v>
      </c>
    </row>
    <row r="95" ht="14.25" customHeight="1">
      <c r="A95" s="41"/>
      <c r="B95" s="160"/>
      <c r="C95" s="161"/>
      <c r="D95" s="162"/>
      <c r="E95" s="163"/>
    </row>
    <row r="96" ht="14.25" customHeight="1">
      <c r="A96" s="10"/>
      <c r="B96" s="91" t="s">
        <v>51</v>
      </c>
      <c r="C96" s="92"/>
      <c r="D96" s="92"/>
      <c r="E96" s="93"/>
    </row>
    <row r="97" ht="14.25" customHeight="1">
      <c r="A97" s="10"/>
      <c r="B97" s="155" t="s">
        <v>52</v>
      </c>
      <c r="C97" s="156" t="s">
        <v>53</v>
      </c>
      <c r="D97" s="60"/>
      <c r="E97" s="61"/>
    </row>
    <row r="98" ht="14.25" customHeight="1">
      <c r="A98" s="10"/>
      <c r="B98" s="113"/>
      <c r="C98" s="114"/>
      <c r="D98" s="115"/>
      <c r="E98" s="116"/>
    </row>
    <row r="99" ht="14.25" customHeight="1">
      <c r="A99" s="10"/>
      <c r="B99" s="102"/>
      <c r="C99" s="103"/>
      <c r="E99" s="52"/>
    </row>
    <row r="100" ht="14.25" customHeight="1">
      <c r="A100" s="10"/>
      <c r="B100" s="104"/>
      <c r="C100" s="105"/>
      <c r="D100" s="85"/>
      <c r="E100" s="86"/>
    </row>
    <row r="101" ht="14.25" customHeight="1">
      <c r="A101" s="10"/>
      <c r="B101" s="10"/>
      <c r="C101" s="10"/>
      <c r="D101" s="10"/>
      <c r="E101" s="10"/>
    </row>
    <row r="102" ht="14.25" customHeight="1">
      <c r="A102" s="117" t="s">
        <v>89</v>
      </c>
      <c r="B102" s="164" t="s">
        <v>90</v>
      </c>
      <c r="C102" s="118" t="s">
        <v>41</v>
      </c>
      <c r="D102" s="118" t="s">
        <v>42</v>
      </c>
      <c r="E102" s="119" t="s">
        <v>43</v>
      </c>
    </row>
    <row r="103" ht="14.25" customHeight="1">
      <c r="A103" s="133"/>
      <c r="B103" s="134" t="s">
        <v>44</v>
      </c>
      <c r="C103" s="135"/>
      <c r="D103" s="135"/>
      <c r="E103" s="136"/>
    </row>
    <row r="104" ht="14.25" customHeight="1">
      <c r="A104" s="76" t="s">
        <v>91</v>
      </c>
      <c r="B104" s="165" t="s">
        <v>92</v>
      </c>
      <c r="C104" s="78">
        <v>0.2</v>
      </c>
      <c r="D104" s="79"/>
      <c r="E104" s="80">
        <f t="shared" ref="E104:E106" si="7">(D104*C104)</f>
        <v>0</v>
      </c>
    </row>
    <row r="105" ht="14.25" customHeight="1">
      <c r="A105" s="81" t="s">
        <v>93</v>
      </c>
      <c r="B105" s="143" t="s">
        <v>94</v>
      </c>
      <c r="C105" s="24">
        <v>0.4</v>
      </c>
      <c r="D105" s="22"/>
      <c r="E105" s="83">
        <f t="shared" si="7"/>
        <v>0</v>
      </c>
    </row>
    <row r="106" ht="14.25" customHeight="1">
      <c r="A106" s="81" t="s">
        <v>95</v>
      </c>
      <c r="B106" s="143" t="s">
        <v>96</v>
      </c>
      <c r="C106" s="24">
        <v>0.4</v>
      </c>
      <c r="D106" s="22"/>
      <c r="E106" s="83">
        <f t="shared" si="7"/>
        <v>0</v>
      </c>
    </row>
    <row r="107" ht="14.25" customHeight="1">
      <c r="A107" s="72"/>
      <c r="B107" s="87" t="s">
        <v>49</v>
      </c>
      <c r="C107" s="166">
        <f>SUM(C104:C106)</f>
        <v>1</v>
      </c>
      <c r="D107" s="73" t="s">
        <v>50</v>
      </c>
      <c r="E107" s="167">
        <f>SUM(E104:E106)</f>
        <v>0</v>
      </c>
    </row>
    <row r="108" ht="14.25" customHeight="1">
      <c r="A108" s="10"/>
      <c r="B108" s="10"/>
      <c r="C108" s="10"/>
      <c r="D108" s="10"/>
      <c r="E108" s="10"/>
    </row>
    <row r="109" ht="14.25" customHeight="1">
      <c r="A109" s="10"/>
      <c r="B109" s="91" t="s">
        <v>51</v>
      </c>
      <c r="C109" s="92"/>
      <c r="D109" s="92"/>
      <c r="E109" s="93"/>
    </row>
    <row r="110" ht="14.25" customHeight="1">
      <c r="A110" s="10"/>
      <c r="B110" s="109" t="s">
        <v>52</v>
      </c>
      <c r="C110" s="110" t="s">
        <v>53</v>
      </c>
      <c r="D110" s="111"/>
      <c r="E110" s="112"/>
    </row>
    <row r="111" ht="14.25" customHeight="1">
      <c r="A111" s="10"/>
      <c r="B111" s="113"/>
      <c r="C111" s="114"/>
      <c r="D111" s="115"/>
      <c r="E111" s="116"/>
    </row>
    <row r="112" ht="14.25" customHeight="1">
      <c r="A112" s="10"/>
      <c r="B112" s="102"/>
      <c r="C112" s="103"/>
      <c r="E112" s="52"/>
    </row>
    <row r="113" ht="14.25" customHeight="1">
      <c r="A113" s="10"/>
      <c r="B113" s="104"/>
      <c r="C113" s="105"/>
      <c r="D113" s="85"/>
      <c r="E113" s="86"/>
    </row>
    <row r="114" ht="14.25" customHeight="1">
      <c r="A114" s="10"/>
      <c r="B114" s="168"/>
      <c r="C114" s="169"/>
      <c r="D114" s="169"/>
      <c r="E114" s="169"/>
    </row>
    <row r="115" ht="14.25" customHeight="1">
      <c r="A115" s="10"/>
      <c r="B115" s="20"/>
      <c r="C115" s="170"/>
      <c r="D115" s="170"/>
      <c r="E115" s="170"/>
    </row>
    <row r="116" ht="14.25" customHeight="1">
      <c r="A116" s="10"/>
      <c r="B116" s="42"/>
      <c r="C116" s="171"/>
      <c r="D116" s="171"/>
      <c r="E116" s="171"/>
    </row>
    <row r="117" ht="14.25" customHeight="1">
      <c r="A117" s="10"/>
      <c r="B117" s="42"/>
      <c r="C117" s="171"/>
      <c r="D117" s="171"/>
      <c r="E117" s="171"/>
    </row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A15:E15"/>
    <mergeCell ref="B16:E16"/>
    <mergeCell ref="A1:E1"/>
    <mergeCell ref="H1:L1"/>
    <mergeCell ref="A3:E3"/>
    <mergeCell ref="B5:D5"/>
    <mergeCell ref="H12:L26"/>
    <mergeCell ref="A13:E13"/>
    <mergeCell ref="C14:D14"/>
    <mergeCell ref="B19:E19"/>
    <mergeCell ref="B17:E17"/>
    <mergeCell ref="B18:E18"/>
    <mergeCell ref="B31:E31"/>
    <mergeCell ref="C32:E32"/>
    <mergeCell ref="B33:B35"/>
    <mergeCell ref="C33:E35"/>
    <mergeCell ref="B46:E46"/>
    <mergeCell ref="C47:E47"/>
    <mergeCell ref="B48:B50"/>
    <mergeCell ref="C48:E50"/>
    <mergeCell ref="B61:E61"/>
    <mergeCell ref="C62:E62"/>
    <mergeCell ref="B63:B65"/>
    <mergeCell ref="C63:E65"/>
    <mergeCell ref="C98:E100"/>
    <mergeCell ref="B109:E109"/>
    <mergeCell ref="C110:E110"/>
    <mergeCell ref="B111:B113"/>
    <mergeCell ref="C111:E113"/>
    <mergeCell ref="B78:E78"/>
    <mergeCell ref="C79:E79"/>
    <mergeCell ref="B80:B82"/>
    <mergeCell ref="C80:E82"/>
    <mergeCell ref="B96:E96"/>
    <mergeCell ref="C97:E97"/>
    <mergeCell ref="B98:B100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5.57"/>
    <col customWidth="1" min="3" max="8" width="10.71"/>
    <col customWidth="1" min="9" max="9" width="17.29"/>
    <col customWidth="1" min="10" max="26" width="10.71"/>
  </cols>
  <sheetData>
    <row r="1" ht="21.75" customHeight="1">
      <c r="A1" s="1" t="s">
        <v>0</v>
      </c>
      <c r="B1" s="2"/>
      <c r="C1" s="2"/>
      <c r="D1" s="2"/>
      <c r="E1" s="3"/>
      <c r="H1" s="4" t="s">
        <v>1</v>
      </c>
      <c r="I1" s="5"/>
      <c r="J1" s="5"/>
      <c r="K1" s="5"/>
      <c r="L1" s="6"/>
    </row>
    <row r="2" ht="14.25" customHeight="1">
      <c r="A2" s="7"/>
      <c r="B2" s="8"/>
      <c r="C2" s="8"/>
      <c r="D2" s="8"/>
      <c r="E2" s="9"/>
      <c r="H2" s="10"/>
      <c r="I2" s="10"/>
      <c r="J2" s="10"/>
      <c r="K2" s="11"/>
      <c r="L2" s="11"/>
    </row>
    <row r="3" ht="22.5" customHeight="1">
      <c r="A3" s="12" t="s">
        <v>2</v>
      </c>
      <c r="B3" s="5"/>
      <c r="C3" s="5"/>
      <c r="D3" s="5"/>
      <c r="E3" s="13"/>
      <c r="H3" s="14" t="s">
        <v>3</v>
      </c>
      <c r="I3" s="15" t="s">
        <v>4</v>
      </c>
      <c r="J3" s="16" t="s">
        <v>5</v>
      </c>
      <c r="K3" s="17" t="s">
        <v>6</v>
      </c>
      <c r="L3" s="18" t="s">
        <v>7</v>
      </c>
    </row>
    <row r="4" ht="14.25" customHeight="1">
      <c r="A4" s="19"/>
      <c r="B4" s="20"/>
      <c r="C4" s="20"/>
      <c r="D4" s="20"/>
      <c r="E4" s="21"/>
      <c r="H4" s="22">
        <v>1.0</v>
      </c>
      <c r="I4" s="23" t="s">
        <v>8</v>
      </c>
      <c r="J4" s="24">
        <v>0.2</v>
      </c>
      <c r="K4" s="25">
        <f>E29</f>
        <v>0</v>
      </c>
      <c r="L4" s="25">
        <f t="shared" ref="L4:L9" si="1">(K4*J4)</f>
        <v>0</v>
      </c>
    </row>
    <row r="5" ht="14.25" customHeight="1">
      <c r="A5" s="19"/>
      <c r="B5" s="26" t="s">
        <v>9</v>
      </c>
      <c r="C5" s="5"/>
      <c r="D5" s="6"/>
      <c r="E5" s="21"/>
      <c r="H5" s="22">
        <v>2.0</v>
      </c>
      <c r="I5" s="23" t="s">
        <v>10</v>
      </c>
      <c r="J5" s="24">
        <v>0.1</v>
      </c>
      <c r="K5" s="25">
        <f>E44</f>
        <v>0</v>
      </c>
      <c r="L5" s="25">
        <f t="shared" si="1"/>
        <v>0</v>
      </c>
    </row>
    <row r="6" ht="14.25" customHeight="1">
      <c r="A6" s="19"/>
      <c r="B6" s="27" t="s">
        <v>11</v>
      </c>
      <c r="C6" s="28" t="s">
        <v>12</v>
      </c>
      <c r="D6" s="29" t="s">
        <v>13</v>
      </c>
      <c r="E6" s="21"/>
      <c r="H6" s="22">
        <v>3.0</v>
      </c>
      <c r="I6" s="23" t="s">
        <v>14</v>
      </c>
      <c r="J6" s="24">
        <v>0.1</v>
      </c>
      <c r="K6" s="25">
        <f>E59</f>
        <v>0</v>
      </c>
      <c r="L6" s="25">
        <f t="shared" si="1"/>
        <v>0</v>
      </c>
    </row>
    <row r="7" ht="14.25" customHeight="1">
      <c r="A7" s="19"/>
      <c r="B7" s="30" t="s">
        <v>15</v>
      </c>
      <c r="C7" s="31" t="s">
        <v>16</v>
      </c>
      <c r="D7" s="32">
        <v>1.0</v>
      </c>
      <c r="E7" s="21"/>
      <c r="H7" s="22">
        <v>4.0</v>
      </c>
      <c r="I7" s="23" t="s">
        <v>17</v>
      </c>
      <c r="J7" s="24">
        <v>0.1</v>
      </c>
      <c r="K7" s="25">
        <f>E76</f>
        <v>0</v>
      </c>
      <c r="L7" s="25">
        <f t="shared" si="1"/>
        <v>0</v>
      </c>
    </row>
    <row r="8" ht="14.25" customHeight="1">
      <c r="A8" s="19"/>
      <c r="B8" s="30" t="s">
        <v>18</v>
      </c>
      <c r="C8" s="31" t="s">
        <v>19</v>
      </c>
      <c r="D8" s="32">
        <v>2.0</v>
      </c>
      <c r="E8" s="21"/>
      <c r="H8" s="22">
        <v>5.0</v>
      </c>
      <c r="I8" s="23" t="s">
        <v>20</v>
      </c>
      <c r="J8" s="24">
        <v>0.2</v>
      </c>
      <c r="K8" s="25">
        <f>E94</f>
        <v>0</v>
      </c>
      <c r="L8" s="25">
        <f t="shared" si="1"/>
        <v>0</v>
      </c>
    </row>
    <row r="9" ht="14.25" customHeight="1">
      <c r="A9" s="19"/>
      <c r="B9" s="30" t="s">
        <v>21</v>
      </c>
      <c r="C9" s="31" t="s">
        <v>22</v>
      </c>
      <c r="D9" s="32">
        <v>3.0</v>
      </c>
      <c r="E9" s="21"/>
      <c r="H9" s="22">
        <v>6.0</v>
      </c>
      <c r="I9" s="23" t="s">
        <v>23</v>
      </c>
      <c r="J9" s="24">
        <v>0.3</v>
      </c>
      <c r="K9" s="25">
        <f>E107</f>
        <v>0</v>
      </c>
      <c r="L9" s="25">
        <f t="shared" si="1"/>
        <v>0</v>
      </c>
    </row>
    <row r="10" ht="14.25" customHeight="1">
      <c r="A10" s="19"/>
      <c r="B10" s="30" t="s">
        <v>24</v>
      </c>
      <c r="C10" s="31" t="s">
        <v>25</v>
      </c>
      <c r="D10" s="32">
        <v>4.0</v>
      </c>
      <c r="E10" s="21"/>
      <c r="H10" s="33"/>
      <c r="I10" s="34" t="s">
        <v>26</v>
      </c>
      <c r="J10" s="35">
        <f>SUM(J4:J9)</f>
        <v>1</v>
      </c>
      <c r="K10" s="36"/>
      <c r="L10" s="37">
        <f>SUM(L7:L9)</f>
        <v>0</v>
      </c>
    </row>
    <row r="11" ht="14.25" customHeight="1">
      <c r="A11" s="19"/>
      <c r="B11" s="38" t="s">
        <v>27</v>
      </c>
      <c r="C11" s="39" t="s">
        <v>28</v>
      </c>
      <c r="D11" s="40">
        <v>5.0</v>
      </c>
      <c r="E11" s="21"/>
      <c r="H11" s="41"/>
      <c r="I11" s="42"/>
      <c r="J11" s="43"/>
      <c r="K11" s="44"/>
      <c r="L11" s="45"/>
    </row>
    <row r="12" ht="14.25" customHeight="1">
      <c r="A12" s="46"/>
      <c r="B12" s="42"/>
      <c r="C12" s="44"/>
      <c r="D12" s="44"/>
      <c r="E12" s="47"/>
      <c r="H12" s="48" t="s">
        <v>29</v>
      </c>
      <c r="I12" s="49"/>
      <c r="J12" s="49"/>
      <c r="K12" s="49"/>
      <c r="L12" s="50"/>
    </row>
    <row r="13" ht="14.25" customHeight="1">
      <c r="A13" s="51" t="s">
        <v>30</v>
      </c>
      <c r="E13" s="52"/>
      <c r="H13" s="53"/>
      <c r="L13" s="52"/>
    </row>
    <row r="14" ht="14.25" customHeight="1">
      <c r="A14" s="54"/>
      <c r="B14" s="55"/>
      <c r="C14" s="56"/>
      <c r="D14" s="57"/>
      <c r="E14" s="58"/>
      <c r="H14" s="53"/>
      <c r="L14" s="52"/>
    </row>
    <row r="15" ht="14.25" customHeight="1">
      <c r="A15" s="59" t="s">
        <v>31</v>
      </c>
      <c r="B15" s="60"/>
      <c r="C15" s="60"/>
      <c r="D15" s="60"/>
      <c r="E15" s="61"/>
      <c r="H15" s="53"/>
      <c r="L15" s="52"/>
    </row>
    <row r="16" ht="14.25" customHeight="1">
      <c r="A16" s="62" t="s">
        <v>32</v>
      </c>
      <c r="B16" s="63"/>
      <c r="C16" s="2"/>
      <c r="D16" s="2"/>
      <c r="E16" s="3"/>
      <c r="H16" s="53"/>
      <c r="L16" s="52"/>
    </row>
    <row r="17" ht="14.25" customHeight="1">
      <c r="A17" s="64" t="s">
        <v>34</v>
      </c>
      <c r="B17" s="172"/>
      <c r="C17" s="60"/>
      <c r="D17" s="60"/>
      <c r="E17" s="61"/>
      <c r="H17" s="53"/>
      <c r="L17" s="52"/>
    </row>
    <row r="18" ht="14.25" customHeight="1">
      <c r="A18" s="62" t="s">
        <v>36</v>
      </c>
      <c r="B18" s="173"/>
      <c r="C18" s="2"/>
      <c r="D18" s="2"/>
      <c r="E18" s="3"/>
      <c r="H18" s="53"/>
      <c r="L18" s="52"/>
    </row>
    <row r="19" ht="14.25" customHeight="1">
      <c r="A19" s="64" t="s">
        <v>38</v>
      </c>
      <c r="B19" s="67">
        <f>L10</f>
        <v>0</v>
      </c>
      <c r="C19" s="60"/>
      <c r="D19" s="60"/>
      <c r="E19" s="61"/>
      <c r="H19" s="53"/>
      <c r="L19" s="52"/>
    </row>
    <row r="20" ht="14.25" customHeight="1">
      <c r="A20" s="68"/>
      <c r="B20" s="68"/>
      <c r="C20" s="10"/>
      <c r="D20" s="10"/>
      <c r="E20" s="10"/>
      <c r="H20" s="53"/>
      <c r="L20" s="52"/>
    </row>
    <row r="21" ht="14.25" customHeight="1">
      <c r="A21" s="42"/>
      <c r="B21" s="42"/>
      <c r="C21" s="10"/>
      <c r="D21" s="10"/>
      <c r="E21" s="10"/>
      <c r="H21" s="53"/>
      <c r="L21" s="52"/>
    </row>
    <row r="22" ht="14.25" customHeight="1">
      <c r="A22" s="42"/>
      <c r="B22" s="42"/>
      <c r="C22" s="10"/>
      <c r="D22" s="10"/>
      <c r="E22" s="10"/>
      <c r="H22" s="53"/>
      <c r="L22" s="52"/>
    </row>
    <row r="23" ht="14.25" customHeight="1">
      <c r="A23" s="14" t="s">
        <v>39</v>
      </c>
      <c r="B23" s="69" t="s">
        <v>40</v>
      </c>
      <c r="C23" s="70" t="s">
        <v>41</v>
      </c>
      <c r="D23" s="70" t="s">
        <v>42</v>
      </c>
      <c r="E23" s="71" t="s">
        <v>43</v>
      </c>
      <c r="H23" s="53"/>
      <c r="L23" s="52"/>
    </row>
    <row r="24" ht="14.25" customHeight="1">
      <c r="A24" s="72"/>
      <c r="B24" s="73" t="s">
        <v>44</v>
      </c>
      <c r="C24" s="74"/>
      <c r="D24" s="74"/>
      <c r="E24" s="75"/>
      <c r="H24" s="53"/>
      <c r="L24" s="52"/>
    </row>
    <row r="25" ht="14.25" customHeight="1">
      <c r="A25" s="76">
        <v>1.0</v>
      </c>
      <c r="B25" s="77" t="s">
        <v>45</v>
      </c>
      <c r="C25" s="78">
        <v>0.2</v>
      </c>
      <c r="D25" s="79"/>
      <c r="E25" s="80">
        <f t="shared" ref="E25:E28" si="2">(D25*C25)</f>
        <v>0</v>
      </c>
      <c r="H25" s="53"/>
      <c r="L25" s="52"/>
    </row>
    <row r="26" ht="14.25" customHeight="1">
      <c r="A26" s="81">
        <v>2.0</v>
      </c>
      <c r="B26" s="82" t="s">
        <v>46</v>
      </c>
      <c r="C26" s="24">
        <v>0.3</v>
      </c>
      <c r="D26" s="22"/>
      <c r="E26" s="83">
        <f t="shared" si="2"/>
        <v>0</v>
      </c>
      <c r="H26" s="84"/>
      <c r="I26" s="85"/>
      <c r="J26" s="85"/>
      <c r="K26" s="85"/>
      <c r="L26" s="86"/>
    </row>
    <row r="27" ht="14.25" customHeight="1">
      <c r="A27" s="81">
        <v>3.0</v>
      </c>
      <c r="B27" s="82" t="s">
        <v>47</v>
      </c>
      <c r="C27" s="24">
        <v>0.2</v>
      </c>
      <c r="D27" s="22"/>
      <c r="E27" s="83">
        <f t="shared" si="2"/>
        <v>0</v>
      </c>
    </row>
    <row r="28" ht="14.25" customHeight="1">
      <c r="A28" s="81">
        <v>4.0</v>
      </c>
      <c r="B28" s="82" t="s">
        <v>48</v>
      </c>
      <c r="C28" s="24">
        <v>0.3</v>
      </c>
      <c r="D28" s="22"/>
      <c r="E28" s="83">
        <f t="shared" si="2"/>
        <v>0</v>
      </c>
    </row>
    <row r="29" ht="14.25" customHeight="1">
      <c r="A29" s="33"/>
      <c r="B29" s="87" t="s">
        <v>49</v>
      </c>
      <c r="C29" s="35">
        <f>SUM(C25:C28)</f>
        <v>1</v>
      </c>
      <c r="D29" s="88" t="s">
        <v>50</v>
      </c>
      <c r="E29" s="37">
        <f>SUM(E25:E28)</f>
        <v>0</v>
      </c>
    </row>
    <row r="30" ht="14.25" customHeight="1">
      <c r="A30" s="41"/>
      <c r="B30" s="68"/>
      <c r="C30" s="89"/>
      <c r="D30" s="44"/>
      <c r="E30" s="90"/>
    </row>
    <row r="31" ht="14.25" customHeight="1">
      <c r="A31" s="41"/>
      <c r="B31" s="91" t="s">
        <v>51</v>
      </c>
      <c r="C31" s="92"/>
      <c r="D31" s="92"/>
      <c r="E31" s="93"/>
    </row>
    <row r="32" ht="14.25" customHeight="1">
      <c r="A32" s="41"/>
      <c r="B32" s="94" t="s">
        <v>52</v>
      </c>
      <c r="C32" s="95" t="s">
        <v>53</v>
      </c>
      <c r="D32" s="96"/>
      <c r="E32" s="97"/>
    </row>
    <row r="33" ht="14.25" customHeight="1">
      <c r="A33" s="41"/>
      <c r="B33" s="98"/>
      <c r="C33" s="99"/>
      <c r="D33" s="100"/>
      <c r="E33" s="101"/>
    </row>
    <row r="34" ht="14.25" customHeight="1">
      <c r="A34" s="41"/>
      <c r="B34" s="102"/>
      <c r="C34" s="103"/>
      <c r="E34" s="52"/>
    </row>
    <row r="35" ht="14.25" customHeight="1">
      <c r="A35" s="10"/>
      <c r="B35" s="104"/>
      <c r="C35" s="105"/>
      <c r="D35" s="85"/>
      <c r="E35" s="86"/>
    </row>
    <row r="36" ht="14.25" customHeight="1">
      <c r="A36" s="10"/>
      <c r="B36" s="10"/>
      <c r="C36" s="10"/>
      <c r="D36" s="10"/>
      <c r="E36" s="10"/>
    </row>
    <row r="37" ht="14.25" customHeight="1">
      <c r="A37" s="14" t="s">
        <v>56</v>
      </c>
      <c r="B37" s="69" t="s">
        <v>57</v>
      </c>
      <c r="C37" s="70" t="s">
        <v>41</v>
      </c>
      <c r="D37" s="70" t="s">
        <v>42</v>
      </c>
      <c r="E37" s="71" t="s">
        <v>43</v>
      </c>
    </row>
    <row r="38" ht="14.25" customHeight="1">
      <c r="A38" s="106"/>
      <c r="B38" s="16" t="s">
        <v>44</v>
      </c>
      <c r="C38" s="107"/>
      <c r="D38" s="107"/>
      <c r="E38" s="108"/>
    </row>
    <row r="39" ht="14.25" customHeight="1">
      <c r="A39" s="22">
        <v>1.0</v>
      </c>
      <c r="B39" s="23" t="s">
        <v>58</v>
      </c>
      <c r="C39" s="24">
        <v>0.25</v>
      </c>
      <c r="D39" s="22"/>
      <c r="E39" s="25">
        <f t="shared" ref="E39:E43" si="3">(D39*C39)</f>
        <v>0</v>
      </c>
    </row>
    <row r="40" ht="14.25" customHeight="1">
      <c r="A40" s="22">
        <v>2.0</v>
      </c>
      <c r="B40" s="23" t="s">
        <v>59</v>
      </c>
      <c r="C40" s="24">
        <v>0.25</v>
      </c>
      <c r="D40" s="22"/>
      <c r="E40" s="25">
        <f t="shared" si="3"/>
        <v>0</v>
      </c>
    </row>
    <row r="41" ht="14.25" customHeight="1">
      <c r="A41" s="22">
        <v>3.0</v>
      </c>
      <c r="B41" s="23" t="s">
        <v>60</v>
      </c>
      <c r="C41" s="24">
        <v>0.2</v>
      </c>
      <c r="D41" s="22"/>
      <c r="E41" s="25">
        <f t="shared" si="3"/>
        <v>0</v>
      </c>
    </row>
    <row r="42" ht="14.25" customHeight="1">
      <c r="A42" s="22">
        <v>4.0</v>
      </c>
      <c r="B42" s="23" t="s">
        <v>61</v>
      </c>
      <c r="C42" s="24">
        <v>0.1</v>
      </c>
      <c r="D42" s="22"/>
      <c r="E42" s="25">
        <f t="shared" si="3"/>
        <v>0</v>
      </c>
    </row>
    <row r="43" ht="14.25" customHeight="1">
      <c r="A43" s="22">
        <v>5.0</v>
      </c>
      <c r="B43" s="23" t="s">
        <v>62</v>
      </c>
      <c r="C43" s="24">
        <v>0.2</v>
      </c>
      <c r="D43" s="22"/>
      <c r="E43" s="25">
        <f t="shared" si="3"/>
        <v>0</v>
      </c>
    </row>
    <row r="44" ht="14.25" customHeight="1">
      <c r="A44" s="33"/>
      <c r="B44" s="87" t="s">
        <v>49</v>
      </c>
      <c r="C44" s="35">
        <f>SUM(C39:C43)</f>
        <v>1</v>
      </c>
      <c r="D44" s="88"/>
      <c r="E44" s="37">
        <f>SUM(E39:E43)</f>
        <v>0</v>
      </c>
    </row>
    <row r="45" ht="14.25" customHeight="1">
      <c r="A45" s="10"/>
      <c r="B45" s="10"/>
      <c r="C45" s="10"/>
      <c r="D45" s="10"/>
      <c r="E45" s="10"/>
    </row>
    <row r="46" ht="14.25" customHeight="1">
      <c r="A46" s="10"/>
      <c r="B46" s="91" t="s">
        <v>51</v>
      </c>
      <c r="C46" s="92"/>
      <c r="D46" s="92"/>
      <c r="E46" s="93"/>
    </row>
    <row r="47" ht="14.25" customHeight="1">
      <c r="A47" s="10"/>
      <c r="B47" s="109" t="s">
        <v>52</v>
      </c>
      <c r="C47" s="110" t="s">
        <v>53</v>
      </c>
      <c r="D47" s="111"/>
      <c r="E47" s="112"/>
    </row>
    <row r="48" ht="14.25" customHeight="1">
      <c r="A48" s="10"/>
      <c r="B48" s="113"/>
      <c r="C48" s="114"/>
      <c r="D48" s="115"/>
      <c r="E48" s="116"/>
    </row>
    <row r="49" ht="14.25" customHeight="1">
      <c r="A49" s="10"/>
      <c r="B49" s="102"/>
      <c r="C49" s="103"/>
      <c r="E49" s="52"/>
    </row>
    <row r="50" ht="14.25" customHeight="1">
      <c r="A50" s="10"/>
      <c r="B50" s="104"/>
      <c r="C50" s="105"/>
      <c r="D50" s="85"/>
      <c r="E50" s="86"/>
    </row>
    <row r="51" ht="14.25" customHeight="1">
      <c r="A51" s="10"/>
      <c r="B51" s="10"/>
      <c r="C51" s="10"/>
      <c r="D51" s="10"/>
      <c r="E51" s="10"/>
    </row>
    <row r="52" ht="14.25" customHeight="1">
      <c r="A52" s="117" t="s">
        <v>63</v>
      </c>
      <c r="B52" s="69" t="s">
        <v>64</v>
      </c>
      <c r="C52" s="118" t="s">
        <v>41</v>
      </c>
      <c r="D52" s="118" t="s">
        <v>42</v>
      </c>
      <c r="E52" s="119" t="s">
        <v>43</v>
      </c>
    </row>
    <row r="53" ht="14.25" customHeight="1">
      <c r="A53" s="120"/>
      <c r="B53" s="121" t="s">
        <v>44</v>
      </c>
      <c r="C53" s="122"/>
      <c r="D53" s="122"/>
      <c r="E53" s="123"/>
    </row>
    <row r="54" ht="14.25" customHeight="1">
      <c r="A54" s="22">
        <v>1.0</v>
      </c>
      <c r="B54" s="23" t="s">
        <v>65</v>
      </c>
      <c r="C54" s="124">
        <v>0.2</v>
      </c>
      <c r="D54" s="125"/>
      <c r="E54" s="126">
        <f t="shared" ref="E54:E58" si="4">(D54*C54)</f>
        <v>0</v>
      </c>
    </row>
    <row r="55" ht="14.25" customHeight="1">
      <c r="A55" s="22">
        <v>2.0</v>
      </c>
      <c r="B55" s="23" t="s">
        <v>66</v>
      </c>
      <c r="C55" s="124">
        <v>0.2</v>
      </c>
      <c r="D55" s="125"/>
      <c r="E55" s="126">
        <f t="shared" si="4"/>
        <v>0</v>
      </c>
    </row>
    <row r="56" ht="14.25" customHeight="1">
      <c r="A56" s="22">
        <v>3.0</v>
      </c>
      <c r="B56" s="23" t="s">
        <v>67</v>
      </c>
      <c r="C56" s="124">
        <v>0.2</v>
      </c>
      <c r="D56" s="125"/>
      <c r="E56" s="126">
        <f t="shared" si="4"/>
        <v>0</v>
      </c>
    </row>
    <row r="57" ht="14.25" customHeight="1">
      <c r="A57" s="22">
        <v>4.0</v>
      </c>
      <c r="B57" s="23" t="s">
        <v>68</v>
      </c>
      <c r="C57" s="124">
        <v>0.2</v>
      </c>
      <c r="D57" s="125"/>
      <c r="E57" s="126">
        <f t="shared" si="4"/>
        <v>0</v>
      </c>
    </row>
    <row r="58" ht="14.25" customHeight="1">
      <c r="A58" s="22">
        <v>5.0</v>
      </c>
      <c r="B58" s="23" t="s">
        <v>69</v>
      </c>
      <c r="C58" s="124">
        <v>0.2</v>
      </c>
      <c r="D58" s="125"/>
      <c r="E58" s="126">
        <f t="shared" si="4"/>
        <v>0</v>
      </c>
    </row>
    <row r="59" ht="14.25" customHeight="1">
      <c r="A59" s="33"/>
      <c r="B59" s="87" t="s">
        <v>49</v>
      </c>
      <c r="C59" s="35">
        <f>SUM(C54:C58)</f>
        <v>1</v>
      </c>
      <c r="D59" s="88"/>
      <c r="E59" s="37">
        <f>SUM(E54:E58)</f>
        <v>0</v>
      </c>
    </row>
    <row r="60" ht="14.25" customHeight="1">
      <c r="A60" s="127"/>
      <c r="B60" s="127"/>
      <c r="C60" s="127"/>
      <c r="D60" s="127"/>
      <c r="E60" s="127"/>
    </row>
    <row r="61" ht="14.25" customHeight="1">
      <c r="A61" s="127"/>
      <c r="B61" s="91" t="s">
        <v>51</v>
      </c>
      <c r="C61" s="92"/>
      <c r="D61" s="92"/>
      <c r="E61" s="93"/>
    </row>
    <row r="62" ht="14.25" customHeight="1">
      <c r="A62" s="127"/>
      <c r="B62" s="109" t="s">
        <v>52</v>
      </c>
      <c r="C62" s="110" t="s">
        <v>53</v>
      </c>
      <c r="D62" s="111"/>
      <c r="E62" s="112"/>
    </row>
    <row r="63" ht="14.25" customHeight="1">
      <c r="A63" s="127"/>
      <c r="B63" s="128"/>
      <c r="C63" s="129"/>
      <c r="D63" s="115"/>
      <c r="E63" s="116"/>
    </row>
    <row r="64" ht="14.25" customHeight="1">
      <c r="A64" s="127"/>
      <c r="B64" s="102"/>
      <c r="C64" s="103"/>
      <c r="E64" s="52"/>
    </row>
    <row r="65" ht="14.25" customHeight="1">
      <c r="A65" s="127"/>
      <c r="B65" s="104"/>
      <c r="C65" s="105"/>
      <c r="D65" s="85"/>
      <c r="E65" s="86"/>
    </row>
    <row r="66" ht="14.25" customHeight="1">
      <c r="A66" s="127"/>
      <c r="B66" s="130"/>
      <c r="C66" s="131"/>
      <c r="D66" s="131"/>
      <c r="E66" s="131"/>
    </row>
    <row r="67" ht="14.25" customHeight="1">
      <c r="A67" s="10"/>
      <c r="B67" s="10"/>
      <c r="C67" s="10"/>
      <c r="D67" s="10"/>
      <c r="E67" s="10"/>
    </row>
    <row r="68" ht="14.25" customHeight="1">
      <c r="A68" s="117" t="s">
        <v>70</v>
      </c>
      <c r="B68" s="132" t="s">
        <v>71</v>
      </c>
      <c r="C68" s="118" t="s">
        <v>41</v>
      </c>
      <c r="D68" s="118" t="s">
        <v>42</v>
      </c>
      <c r="E68" s="119" t="s">
        <v>43</v>
      </c>
    </row>
    <row r="69" ht="14.25" customHeight="1">
      <c r="A69" s="133"/>
      <c r="B69" s="134" t="s">
        <v>44</v>
      </c>
      <c r="C69" s="135"/>
      <c r="D69" s="135"/>
      <c r="E69" s="136"/>
    </row>
    <row r="70" ht="14.25" customHeight="1">
      <c r="A70" s="137">
        <v>1.0</v>
      </c>
      <c r="B70" s="138" t="s">
        <v>72</v>
      </c>
      <c r="C70" s="139">
        <v>0.15</v>
      </c>
      <c r="D70" s="140"/>
      <c r="E70" s="141">
        <f t="shared" ref="E70:E75" si="5">(D70*C70)</f>
        <v>0</v>
      </c>
    </row>
    <row r="71" ht="14.25" customHeight="1">
      <c r="A71" s="142">
        <v>2.0</v>
      </c>
      <c r="B71" s="143" t="s">
        <v>73</v>
      </c>
      <c r="C71" s="124">
        <v>0.2</v>
      </c>
      <c r="D71" s="125"/>
      <c r="E71" s="144">
        <f t="shared" si="5"/>
        <v>0</v>
      </c>
    </row>
    <row r="72" ht="14.25" customHeight="1">
      <c r="A72" s="145">
        <v>3.0</v>
      </c>
      <c r="B72" s="146" t="s">
        <v>74</v>
      </c>
      <c r="C72" s="147">
        <v>0.3</v>
      </c>
      <c r="D72" s="148"/>
      <c r="E72" s="149">
        <f t="shared" si="5"/>
        <v>0</v>
      </c>
    </row>
    <row r="73" ht="14.25" customHeight="1">
      <c r="A73" s="142">
        <v>4.0</v>
      </c>
      <c r="B73" s="143" t="s">
        <v>75</v>
      </c>
      <c r="C73" s="124">
        <v>0.1</v>
      </c>
      <c r="D73" s="125"/>
      <c r="E73" s="144">
        <f t="shared" si="5"/>
        <v>0</v>
      </c>
    </row>
    <row r="74" ht="14.25" customHeight="1">
      <c r="A74" s="142">
        <v>5.0</v>
      </c>
      <c r="B74" s="143" t="s">
        <v>76</v>
      </c>
      <c r="C74" s="124">
        <v>0.15</v>
      </c>
      <c r="D74" s="125"/>
      <c r="E74" s="144">
        <f t="shared" si="5"/>
        <v>0</v>
      </c>
    </row>
    <row r="75" ht="14.25" customHeight="1">
      <c r="A75" s="142">
        <v>6.0</v>
      </c>
      <c r="B75" s="143" t="s">
        <v>77</v>
      </c>
      <c r="C75" s="124">
        <v>0.1</v>
      </c>
      <c r="D75" s="125"/>
      <c r="E75" s="144">
        <f t="shared" si="5"/>
        <v>0</v>
      </c>
    </row>
    <row r="76" ht="14.25" customHeight="1">
      <c r="A76" s="33"/>
      <c r="B76" s="87" t="s">
        <v>49</v>
      </c>
      <c r="C76" s="35">
        <f>SUM(C70:C75)</f>
        <v>1</v>
      </c>
      <c r="D76" s="88"/>
      <c r="E76" s="37">
        <f>SUM(E70:E75)</f>
        <v>0</v>
      </c>
    </row>
    <row r="77" ht="14.25" customHeight="1">
      <c r="A77" s="150"/>
      <c r="B77" s="151"/>
      <c r="C77" s="152"/>
      <c r="D77" s="153"/>
      <c r="E77" s="154"/>
    </row>
    <row r="78" ht="14.25" customHeight="1">
      <c r="A78" s="127"/>
      <c r="B78" s="91" t="s">
        <v>51</v>
      </c>
      <c r="C78" s="92"/>
      <c r="D78" s="92"/>
      <c r="E78" s="93"/>
    </row>
    <row r="79" ht="14.25" customHeight="1">
      <c r="A79" s="127"/>
      <c r="B79" s="155" t="s">
        <v>52</v>
      </c>
      <c r="C79" s="156" t="s">
        <v>53</v>
      </c>
      <c r="D79" s="60"/>
      <c r="E79" s="61"/>
    </row>
    <row r="80" ht="14.25" customHeight="1">
      <c r="A80" s="127"/>
      <c r="B80" s="128"/>
      <c r="C80" s="129"/>
      <c r="D80" s="115"/>
      <c r="E80" s="116"/>
    </row>
    <row r="81" ht="14.25" customHeight="1">
      <c r="A81" s="127"/>
      <c r="B81" s="102"/>
      <c r="C81" s="103"/>
      <c r="E81" s="52"/>
    </row>
    <row r="82" ht="14.25" customHeight="1">
      <c r="A82" s="127"/>
      <c r="B82" s="104"/>
      <c r="C82" s="105"/>
      <c r="D82" s="85"/>
      <c r="E82" s="86"/>
    </row>
    <row r="83" ht="28.5" customHeight="1">
      <c r="A83" s="41"/>
      <c r="B83" s="42"/>
      <c r="C83" s="157"/>
      <c r="D83" s="41"/>
      <c r="E83" s="158"/>
    </row>
    <row r="84" ht="30.0" customHeight="1">
      <c r="A84" s="117" t="s">
        <v>78</v>
      </c>
      <c r="B84" s="159" t="s">
        <v>79</v>
      </c>
      <c r="C84" s="118" t="s">
        <v>41</v>
      </c>
      <c r="D84" s="118" t="s">
        <v>42</v>
      </c>
      <c r="E84" s="119" t="s">
        <v>43</v>
      </c>
    </row>
    <row r="85" ht="14.25" customHeight="1">
      <c r="A85" s="22">
        <v>1.0</v>
      </c>
      <c r="B85" s="143" t="s">
        <v>80</v>
      </c>
      <c r="C85" s="24">
        <v>0.05</v>
      </c>
      <c r="D85" s="22"/>
      <c r="E85" s="25">
        <f t="shared" ref="E85:E93" si="6">(D85*C85)</f>
        <v>0</v>
      </c>
    </row>
    <row r="86" ht="14.25" customHeight="1">
      <c r="A86" s="22">
        <v>2.0</v>
      </c>
      <c r="B86" s="143" t="s">
        <v>81</v>
      </c>
      <c r="C86" s="24">
        <v>0.15</v>
      </c>
      <c r="D86" s="22"/>
      <c r="E86" s="25">
        <f t="shared" si="6"/>
        <v>0</v>
      </c>
    </row>
    <row r="87" ht="14.25" customHeight="1">
      <c r="A87" s="22">
        <v>3.0</v>
      </c>
      <c r="B87" s="143" t="s">
        <v>82</v>
      </c>
      <c r="C87" s="24">
        <v>0.1</v>
      </c>
      <c r="D87" s="22"/>
      <c r="E87" s="25">
        <f t="shared" si="6"/>
        <v>0</v>
      </c>
    </row>
    <row r="88" ht="14.25" customHeight="1">
      <c r="A88" s="22">
        <v>4.0</v>
      </c>
      <c r="B88" s="143" t="s">
        <v>83</v>
      </c>
      <c r="C88" s="24">
        <v>0.1</v>
      </c>
      <c r="D88" s="22"/>
      <c r="E88" s="25">
        <f t="shared" si="6"/>
        <v>0</v>
      </c>
    </row>
    <row r="89" ht="14.25" customHeight="1">
      <c r="A89" s="22">
        <v>5.0</v>
      </c>
      <c r="B89" s="143" t="s">
        <v>84</v>
      </c>
      <c r="C89" s="24">
        <v>0.1</v>
      </c>
      <c r="D89" s="22"/>
      <c r="E89" s="25">
        <f t="shared" si="6"/>
        <v>0</v>
      </c>
    </row>
    <row r="90" ht="14.25" customHeight="1">
      <c r="A90" s="22">
        <v>6.0</v>
      </c>
      <c r="B90" s="143" t="s">
        <v>85</v>
      </c>
      <c r="C90" s="24">
        <v>0.1</v>
      </c>
      <c r="D90" s="22"/>
      <c r="E90" s="25">
        <f t="shared" si="6"/>
        <v>0</v>
      </c>
    </row>
    <row r="91" ht="14.25" customHeight="1">
      <c r="A91" s="22">
        <v>7.0</v>
      </c>
      <c r="B91" s="143" t="s">
        <v>86</v>
      </c>
      <c r="C91" s="24">
        <v>0.15</v>
      </c>
      <c r="D91" s="22"/>
      <c r="E91" s="25">
        <f t="shared" si="6"/>
        <v>0</v>
      </c>
    </row>
    <row r="92" ht="14.25" customHeight="1">
      <c r="A92" s="22">
        <v>8.0</v>
      </c>
      <c r="B92" s="143" t="s">
        <v>87</v>
      </c>
      <c r="C92" s="24">
        <v>0.15</v>
      </c>
      <c r="D92" s="22"/>
      <c r="E92" s="25">
        <f t="shared" si="6"/>
        <v>0</v>
      </c>
    </row>
    <row r="93" ht="14.25" customHeight="1">
      <c r="A93" s="22">
        <v>9.0</v>
      </c>
      <c r="B93" s="143" t="s">
        <v>88</v>
      </c>
      <c r="C93" s="24">
        <v>0.1</v>
      </c>
      <c r="D93" s="22"/>
      <c r="E93" s="25">
        <f t="shared" si="6"/>
        <v>0</v>
      </c>
    </row>
    <row r="94" ht="14.25" customHeight="1">
      <c r="A94" s="33"/>
      <c r="B94" s="87" t="s">
        <v>49</v>
      </c>
      <c r="C94" s="35">
        <f>SUM(C85:C93)</f>
        <v>1</v>
      </c>
      <c r="D94" s="88"/>
      <c r="E94" s="37">
        <f>SUM(E85:E93)</f>
        <v>0</v>
      </c>
    </row>
    <row r="95" ht="14.25" customHeight="1">
      <c r="A95" s="41"/>
      <c r="B95" s="160"/>
      <c r="C95" s="161"/>
      <c r="D95" s="162"/>
      <c r="E95" s="163"/>
    </row>
    <row r="96" ht="14.25" customHeight="1">
      <c r="A96" s="10"/>
      <c r="B96" s="91" t="s">
        <v>51</v>
      </c>
      <c r="C96" s="92"/>
      <c r="D96" s="92"/>
      <c r="E96" s="93"/>
    </row>
    <row r="97" ht="14.25" customHeight="1">
      <c r="A97" s="10"/>
      <c r="B97" s="155" t="s">
        <v>52</v>
      </c>
      <c r="C97" s="156" t="s">
        <v>53</v>
      </c>
      <c r="D97" s="60"/>
      <c r="E97" s="61"/>
    </row>
    <row r="98" ht="14.25" customHeight="1">
      <c r="A98" s="10"/>
      <c r="B98" s="113"/>
      <c r="C98" s="114"/>
      <c r="D98" s="115"/>
      <c r="E98" s="116"/>
    </row>
    <row r="99" ht="14.25" customHeight="1">
      <c r="A99" s="10"/>
      <c r="B99" s="102"/>
      <c r="C99" s="103"/>
      <c r="E99" s="52"/>
    </row>
    <row r="100" ht="14.25" customHeight="1">
      <c r="A100" s="10"/>
      <c r="B100" s="104"/>
      <c r="C100" s="105"/>
      <c r="D100" s="85"/>
      <c r="E100" s="86"/>
    </row>
    <row r="101" ht="14.25" customHeight="1">
      <c r="A101" s="10"/>
      <c r="B101" s="10"/>
      <c r="C101" s="10"/>
      <c r="D101" s="10"/>
      <c r="E101" s="10"/>
    </row>
    <row r="102" ht="14.25" customHeight="1">
      <c r="A102" s="117" t="s">
        <v>89</v>
      </c>
      <c r="B102" s="164" t="s">
        <v>90</v>
      </c>
      <c r="C102" s="118" t="s">
        <v>41</v>
      </c>
      <c r="D102" s="118" t="s">
        <v>42</v>
      </c>
      <c r="E102" s="119" t="s">
        <v>43</v>
      </c>
    </row>
    <row r="103" ht="14.25" customHeight="1">
      <c r="A103" s="133"/>
      <c r="B103" s="134" t="s">
        <v>44</v>
      </c>
      <c r="C103" s="135"/>
      <c r="D103" s="135"/>
      <c r="E103" s="136"/>
    </row>
    <row r="104" ht="14.25" customHeight="1">
      <c r="A104" s="76" t="s">
        <v>91</v>
      </c>
      <c r="B104" s="165" t="s">
        <v>92</v>
      </c>
      <c r="C104" s="78">
        <v>0.2</v>
      </c>
      <c r="D104" s="79"/>
      <c r="E104" s="80">
        <f t="shared" ref="E104:E106" si="7">(D104*C104)</f>
        <v>0</v>
      </c>
    </row>
    <row r="105" ht="14.25" customHeight="1">
      <c r="A105" s="81" t="s">
        <v>93</v>
      </c>
      <c r="B105" s="143" t="s">
        <v>94</v>
      </c>
      <c r="C105" s="24">
        <v>0.4</v>
      </c>
      <c r="D105" s="22"/>
      <c r="E105" s="83">
        <f t="shared" si="7"/>
        <v>0</v>
      </c>
    </row>
    <row r="106" ht="14.25" customHeight="1">
      <c r="A106" s="81" t="s">
        <v>95</v>
      </c>
      <c r="B106" s="143" t="s">
        <v>96</v>
      </c>
      <c r="C106" s="24">
        <v>0.4</v>
      </c>
      <c r="D106" s="22"/>
      <c r="E106" s="83">
        <f t="shared" si="7"/>
        <v>0</v>
      </c>
    </row>
    <row r="107" ht="14.25" customHeight="1">
      <c r="A107" s="72"/>
      <c r="B107" s="87" t="s">
        <v>49</v>
      </c>
      <c r="C107" s="166">
        <f>SUM(C104:C106)</f>
        <v>1</v>
      </c>
      <c r="D107" s="73" t="s">
        <v>50</v>
      </c>
      <c r="E107" s="167">
        <f>SUM(E104:E106)</f>
        <v>0</v>
      </c>
    </row>
    <row r="108" ht="14.25" customHeight="1">
      <c r="A108" s="10"/>
      <c r="B108" s="10"/>
      <c r="C108" s="10"/>
      <c r="D108" s="10"/>
      <c r="E108" s="10"/>
    </row>
    <row r="109" ht="14.25" customHeight="1">
      <c r="A109" s="10"/>
      <c r="B109" s="91" t="s">
        <v>51</v>
      </c>
      <c r="C109" s="92"/>
      <c r="D109" s="92"/>
      <c r="E109" s="93"/>
    </row>
    <row r="110" ht="14.25" customHeight="1">
      <c r="A110" s="10"/>
      <c r="B110" s="109" t="s">
        <v>52</v>
      </c>
      <c r="C110" s="110" t="s">
        <v>53</v>
      </c>
      <c r="D110" s="111"/>
      <c r="E110" s="112"/>
    </row>
    <row r="111" ht="14.25" customHeight="1">
      <c r="A111" s="10"/>
      <c r="B111" s="113"/>
      <c r="C111" s="114"/>
      <c r="D111" s="115"/>
      <c r="E111" s="116"/>
    </row>
    <row r="112" ht="14.25" customHeight="1">
      <c r="A112" s="10"/>
      <c r="B112" s="102"/>
      <c r="C112" s="103"/>
      <c r="E112" s="52"/>
    </row>
    <row r="113" ht="14.25" customHeight="1">
      <c r="A113" s="10"/>
      <c r="B113" s="104"/>
      <c r="C113" s="105"/>
      <c r="D113" s="85"/>
      <c r="E113" s="86"/>
    </row>
    <row r="114" ht="14.25" customHeight="1">
      <c r="A114" s="10"/>
      <c r="B114" s="168"/>
      <c r="C114" s="169"/>
      <c r="D114" s="169"/>
      <c r="E114" s="169"/>
    </row>
    <row r="115" ht="14.25" customHeight="1">
      <c r="A115" s="10"/>
      <c r="B115" s="20"/>
      <c r="C115" s="170"/>
      <c r="D115" s="170"/>
      <c r="E115" s="170"/>
    </row>
    <row r="116" ht="14.25" customHeight="1">
      <c r="A116" s="10"/>
      <c r="B116" s="42"/>
      <c r="C116" s="171"/>
      <c r="D116" s="171"/>
      <c r="E116" s="171"/>
    </row>
    <row r="117" ht="14.25" customHeight="1">
      <c r="A117" s="10"/>
      <c r="B117" s="42"/>
      <c r="C117" s="171"/>
      <c r="D117" s="171"/>
      <c r="E117" s="171"/>
    </row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A15:E15"/>
    <mergeCell ref="B16:E16"/>
    <mergeCell ref="A1:E1"/>
    <mergeCell ref="H1:L1"/>
    <mergeCell ref="A3:E3"/>
    <mergeCell ref="B5:D5"/>
    <mergeCell ref="H12:L26"/>
    <mergeCell ref="A13:E13"/>
    <mergeCell ref="C14:D14"/>
    <mergeCell ref="B19:E19"/>
    <mergeCell ref="B17:E17"/>
    <mergeCell ref="B18:E18"/>
    <mergeCell ref="B31:E31"/>
    <mergeCell ref="C32:E32"/>
    <mergeCell ref="B33:B35"/>
    <mergeCell ref="C33:E35"/>
    <mergeCell ref="B46:E46"/>
    <mergeCell ref="C47:E47"/>
    <mergeCell ref="B48:B50"/>
    <mergeCell ref="C48:E50"/>
    <mergeCell ref="B61:E61"/>
    <mergeCell ref="C62:E62"/>
    <mergeCell ref="B63:B65"/>
    <mergeCell ref="C63:E65"/>
    <mergeCell ref="C98:E100"/>
    <mergeCell ref="B109:E109"/>
    <mergeCell ref="C110:E110"/>
    <mergeCell ref="B111:B113"/>
    <mergeCell ref="C111:E113"/>
    <mergeCell ref="B78:E78"/>
    <mergeCell ref="C79:E79"/>
    <mergeCell ref="B80:B82"/>
    <mergeCell ref="C80:E82"/>
    <mergeCell ref="B96:E96"/>
    <mergeCell ref="C97:E97"/>
    <mergeCell ref="B98:B100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7.29"/>
    <col customWidth="1" min="5" max="26" width="10.71"/>
  </cols>
  <sheetData>
    <row r="1" ht="21.75" customHeight="1">
      <c r="C1" s="4"/>
      <c r="D1" s="5"/>
      <c r="E1" s="6"/>
    </row>
    <row r="2" ht="14.25" customHeight="1">
      <c r="C2" s="10"/>
      <c r="D2" s="10"/>
      <c r="E2" s="11"/>
    </row>
    <row r="3" ht="22.5" customHeight="1">
      <c r="C3" s="14" t="s">
        <v>3</v>
      </c>
      <c r="D3" s="15" t="s">
        <v>105</v>
      </c>
      <c r="E3" s="18" t="s">
        <v>106</v>
      </c>
    </row>
    <row r="4" ht="14.25" customHeight="1">
      <c r="C4" s="22">
        <v>1.0</v>
      </c>
      <c r="D4" s="23" t="str">
        <f>+'PAUTA 1'!B17</f>
        <v>Pagina Web Hostal-Soft</v>
      </c>
      <c r="E4" s="25">
        <f>'PAUTA 1'!B19</f>
        <v>5</v>
      </c>
    </row>
    <row r="5" ht="14.25" customHeight="1">
      <c r="C5" s="22">
        <v>2.0</v>
      </c>
      <c r="D5" s="23" t="str">
        <f>+'PAUTA 2'!B17</f>
        <v/>
      </c>
      <c r="E5" s="25">
        <f>'PAUTA 2'!B19</f>
        <v>0</v>
      </c>
    </row>
    <row r="6" ht="14.25" customHeight="1">
      <c r="C6" s="22">
        <v>3.0</v>
      </c>
      <c r="D6" s="23" t="str">
        <f>+'PAUTA 3'!B17</f>
        <v>Web Movil Hostal-Soft</v>
      </c>
      <c r="E6" s="25">
        <f>'PAUTA 3'!B19</f>
        <v>4.58</v>
      </c>
    </row>
    <row r="7" ht="14.25" customHeight="1">
      <c r="C7" s="22">
        <v>4.0</v>
      </c>
      <c r="D7" s="23" t="str">
        <f>+'PAUTA 4'!B17</f>
        <v/>
      </c>
      <c r="E7" s="25" t="str">
        <f>'PAUTA 4'!B19:E19</f>
        <v/>
      </c>
    </row>
    <row r="8" ht="14.25" customHeight="1">
      <c r="C8" s="22">
        <v>5.0</v>
      </c>
      <c r="D8" s="23" t="str">
        <f>+'PAUTA 5'!B17</f>
        <v/>
      </c>
      <c r="E8" s="25" t="str">
        <f>'PAUTA 5'!B19:E19</f>
        <v/>
      </c>
    </row>
    <row r="9" ht="14.25" customHeight="1">
      <c r="C9" s="22">
        <v>6.0</v>
      </c>
      <c r="D9" s="23" t="str">
        <f>+'PAUTA 6'!B17</f>
        <v/>
      </c>
      <c r="E9" s="25" t="str">
        <f>'PAUTA 6'!B19:E19</f>
        <v/>
      </c>
    </row>
    <row r="10" ht="14.25" customHeight="1">
      <c r="C10" s="41"/>
      <c r="D10" s="42"/>
      <c r="E10" s="45"/>
    </row>
    <row r="11" ht="14.25" customHeight="1">
      <c r="C11" s="48" t="s">
        <v>29</v>
      </c>
      <c r="D11" s="49"/>
      <c r="E11" s="50"/>
    </row>
    <row r="12" ht="14.25" customHeight="1">
      <c r="C12" s="53"/>
      <c r="E12" s="52"/>
    </row>
    <row r="13" ht="14.25" customHeight="1">
      <c r="C13" s="53"/>
      <c r="E13" s="52"/>
    </row>
    <row r="14" ht="14.25" customHeight="1">
      <c r="C14" s="53"/>
      <c r="E14" s="52"/>
    </row>
    <row r="15" ht="14.25" customHeight="1">
      <c r="C15" s="53"/>
      <c r="E15" s="52"/>
    </row>
    <row r="16" ht="14.25" customHeight="1">
      <c r="C16" s="53"/>
      <c r="E16" s="52"/>
    </row>
    <row r="17" ht="14.25" customHeight="1">
      <c r="C17" s="53"/>
      <c r="E17" s="52"/>
    </row>
    <row r="18" ht="14.25" customHeight="1">
      <c r="C18" s="53"/>
      <c r="E18" s="52"/>
    </row>
    <row r="19" ht="14.25" customHeight="1">
      <c r="C19" s="53"/>
      <c r="E19" s="52"/>
    </row>
    <row r="20" ht="14.25" customHeight="1">
      <c r="C20" s="53"/>
      <c r="E20" s="52"/>
    </row>
    <row r="21" ht="14.25" customHeight="1">
      <c r="C21" s="53"/>
      <c r="E21" s="52"/>
    </row>
    <row r="22" ht="14.25" customHeight="1">
      <c r="C22" s="53"/>
      <c r="E22" s="52"/>
    </row>
    <row r="23" ht="14.25" customHeight="1">
      <c r="C23" s="53"/>
      <c r="E23" s="52"/>
    </row>
    <row r="24" ht="14.25" customHeight="1">
      <c r="C24" s="53"/>
      <c r="E24" s="52"/>
    </row>
    <row r="25" ht="14.25" customHeight="1">
      <c r="C25" s="84"/>
      <c r="D25" s="85"/>
      <c r="E25" s="86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28.5" customHeight="1"/>
    <row r="83" ht="30.0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C1:E1"/>
    <mergeCell ref="C11:E2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2018-12-30T23:41:14Z</dcterms:created>
  <dc:creator>Gerardo Galan Cruz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0x01010054CBA08B7824894AA16DE9F2638AAE9B</vt:lpwstr>
  </property>
</Properties>
</file>