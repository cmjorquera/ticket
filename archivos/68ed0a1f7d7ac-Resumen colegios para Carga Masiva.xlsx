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50" tabRatio="702"/>
  </bookViews>
  <sheets>
    <sheet name="CLA" sheetId="1" r:id="rId1"/>
    <sheet name="Tabancura" sheetId="2" r:id="rId2"/>
    <sheet name="Huelén" sheetId="4" r:id="rId3"/>
    <sheet name="Cordillera" sheetId="3" r:id="rId4"/>
    <sheet name="Los Alerces" sheetId="5" r:id="rId5"/>
    <sheet name="Huinganal" sheetId="6" r:id="rId6"/>
  </sheets>
  <externalReferences>
    <externalReference r:id="rId7"/>
    <externalReference r:id="rId8"/>
    <externalReference r:id="rId9"/>
    <externalReference r:id="rId10"/>
    <externalReference r:id="rId11"/>
    <externalReference r:id="rId12"/>
  </externalReferences>
  <definedNames>
    <definedName name="_xlnm._FilterDatabase" localSheetId="0" hidden="1">CLA!$A$3:$AZ$102</definedName>
    <definedName name="_xlnm._FilterDatabase" localSheetId="3" hidden="1">Cordillera!$A$3:$BC$75</definedName>
    <definedName name="_xlnm._FilterDatabase" localSheetId="2" hidden="1">Huelén!$A$3:$AZ$88</definedName>
    <definedName name="_xlnm._FilterDatabase" localSheetId="5" hidden="1">Huinganal!$A$3:$AS$54</definedName>
    <definedName name="_xlnm._FilterDatabase" localSheetId="4" hidden="1">'Los Alerces'!$A$3:$AZ$96</definedName>
    <definedName name="_xlnm._FilterDatabase" localSheetId="1" hidden="1">Tabancura!$A$3:$AZ$103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83" i="4" l="1"/>
  <c r="S78" i="4"/>
  <c r="S66" i="4"/>
  <c r="S65" i="4"/>
  <c r="S52" i="4"/>
  <c r="S50" i="4"/>
  <c r="S49" i="4"/>
  <c r="S47" i="4"/>
  <c r="S40" i="4"/>
  <c r="S38" i="4"/>
  <c r="S37" i="4"/>
  <c r="S34" i="4"/>
  <c r="S31" i="4"/>
  <c r="S20" i="4"/>
  <c r="S16" i="4"/>
  <c r="S12" i="4"/>
  <c r="S9" i="4"/>
  <c r="AH83" i="4"/>
  <c r="AR83" i="4" s="1"/>
  <c r="AH78" i="4"/>
  <c r="AH66" i="4"/>
  <c r="AH65" i="4"/>
  <c r="AH52" i="4"/>
  <c r="AR52" i="4" s="1"/>
  <c r="AH50" i="4"/>
  <c r="AH49" i="4"/>
  <c r="AH47" i="4"/>
  <c r="AH40" i="4"/>
  <c r="AH38" i="4"/>
  <c r="AH37" i="4"/>
  <c r="AH34" i="4"/>
  <c r="AH31" i="4"/>
  <c r="AH20" i="4"/>
  <c r="AH16" i="4"/>
  <c r="AH12" i="4"/>
  <c r="AH9" i="4"/>
  <c r="AH6" i="4"/>
  <c r="S6" i="4"/>
  <c r="AR6" i="4" l="1"/>
  <c r="AR38" i="4"/>
  <c r="AR47" i="4"/>
  <c r="AR66" i="4"/>
  <c r="AR65" i="4"/>
  <c r="AR78" i="4"/>
  <c r="AR50" i="4"/>
  <c r="AR49" i="4"/>
  <c r="AR40" i="4"/>
  <c r="AR37" i="4"/>
  <c r="AR34" i="4"/>
  <c r="AR31" i="4"/>
  <c r="AR20" i="4"/>
  <c r="AR16" i="4"/>
  <c r="AR12" i="4"/>
  <c r="AR9" i="4"/>
  <c r="BB54" i="6"/>
  <c r="BA54" i="6"/>
  <c r="BB103" i="2" l="1"/>
  <c r="BA103" i="2"/>
  <c r="BA101" i="1"/>
  <c r="AT103" i="2"/>
  <c r="BA95" i="5" l="1"/>
  <c r="BB10" i="5"/>
  <c r="BB11" i="5"/>
  <c r="BB17" i="5"/>
  <c r="BB18" i="5"/>
  <c r="BB19" i="5"/>
  <c r="BB26" i="5"/>
  <c r="BB27" i="5"/>
  <c r="BB33" i="5"/>
  <c r="BB34" i="5"/>
  <c r="BB35" i="5"/>
  <c r="BB41" i="5"/>
  <c r="BB43" i="5"/>
  <c r="BB49" i="5"/>
  <c r="BB50" i="5"/>
  <c r="BB51" i="5"/>
  <c r="BB57" i="5"/>
  <c r="BB58" i="5"/>
  <c r="BB59" i="5"/>
  <c r="BB66" i="5"/>
  <c r="BB67" i="5"/>
  <c r="BB73" i="5"/>
  <c r="BB74" i="5"/>
  <c r="BB75" i="5"/>
  <c r="BB78" i="5"/>
  <c r="BB80" i="5"/>
  <c r="BB81" i="5"/>
  <c r="BB82" i="5"/>
  <c r="BB83" i="5"/>
  <c r="BB90" i="5"/>
  <c r="BB91" i="5"/>
  <c r="BB93" i="5"/>
  <c r="BB94" i="5"/>
  <c r="BB89" i="5"/>
  <c r="BB68" i="5"/>
  <c r="BB65" i="5"/>
  <c r="BB60" i="5"/>
  <c r="BB52" i="5"/>
  <c r="BB44" i="5"/>
  <c r="BB42" i="5"/>
  <c r="BB36" i="5"/>
  <c r="BB25" i="5"/>
  <c r="BB22" i="5"/>
  <c r="BB20" i="5"/>
  <c r="BB13" i="5"/>
  <c r="BB9" i="5"/>
  <c r="BB4" i="5"/>
  <c r="BB12" i="5"/>
  <c r="BB28" i="5"/>
  <c r="BB88" i="5"/>
  <c r="BB92" i="5"/>
  <c r="BB37" i="5"/>
  <c r="BB38" i="5"/>
  <c r="BB39" i="5"/>
  <c r="BB40" i="5"/>
  <c r="BB45" i="5"/>
  <c r="BB46" i="5"/>
  <c r="BB47" i="5"/>
  <c r="BB48" i="5"/>
  <c r="BB53" i="5"/>
  <c r="BB54" i="5"/>
  <c r="BB55" i="5"/>
  <c r="BB56" i="5"/>
  <c r="BB61" i="5"/>
  <c r="BB62" i="5"/>
  <c r="BB63" i="5"/>
  <c r="BB64" i="5"/>
  <c r="BB69" i="5"/>
  <c r="BB70" i="5"/>
  <c r="BB71" i="5"/>
  <c r="BB72" i="5"/>
  <c r="BB76" i="5"/>
  <c r="BB77" i="5"/>
  <c r="BB79" i="5"/>
  <c r="BB84" i="5"/>
  <c r="BB85" i="5"/>
  <c r="BB86" i="5"/>
  <c r="BB87" i="5"/>
  <c r="BB5" i="5"/>
  <c r="BB6" i="5"/>
  <c r="BB7" i="5"/>
  <c r="BB8" i="5"/>
  <c r="BB14" i="5"/>
  <c r="BB15" i="5"/>
  <c r="BB16" i="5"/>
  <c r="BB21" i="5"/>
  <c r="BB23" i="5"/>
  <c r="BB24" i="5"/>
  <c r="BB29" i="5"/>
  <c r="BB30" i="5"/>
  <c r="BB31" i="5"/>
  <c r="BB32" i="5"/>
  <c r="BA70"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4" i="3"/>
  <c r="BB5" i="4"/>
  <c r="BB6" i="4"/>
  <c r="BB7" i="4"/>
  <c r="BB8" i="4"/>
  <c r="BB9" i="4"/>
  <c r="BB10" i="4"/>
  <c r="BB11" i="4"/>
  <c r="BB12" i="4"/>
  <c r="BB13" i="4"/>
  <c r="BB14" i="4"/>
  <c r="BB15" i="4"/>
  <c r="BB16" i="4"/>
  <c r="BB17" i="4"/>
  <c r="BB18" i="4"/>
  <c r="BB19" i="4"/>
  <c r="BB20" i="4"/>
  <c r="BB21" i="4"/>
  <c r="BB22" i="4"/>
  <c r="BB23" i="4"/>
  <c r="BB24" i="4"/>
  <c r="BB25" i="4"/>
  <c r="BB26" i="4"/>
  <c r="BB27" i="4"/>
  <c r="BB28" i="4"/>
  <c r="BB29" i="4"/>
  <c r="BB30" i="4"/>
  <c r="BB31" i="4"/>
  <c r="BB32" i="4"/>
  <c r="BB33" i="4"/>
  <c r="BB34" i="4"/>
  <c r="BB35" i="4"/>
  <c r="BB36" i="4"/>
  <c r="BB37" i="4"/>
  <c r="BB38" i="4"/>
  <c r="BB39" i="4"/>
  <c r="BB40" i="4"/>
  <c r="BB41" i="4"/>
  <c r="BB42" i="4"/>
  <c r="BB43" i="4"/>
  <c r="BB44" i="4"/>
  <c r="BB45" i="4"/>
  <c r="BB46" i="4"/>
  <c r="BB47" i="4"/>
  <c r="BB48" i="4"/>
  <c r="BB49" i="4"/>
  <c r="BB50" i="4"/>
  <c r="BB51" i="4"/>
  <c r="BB52" i="4"/>
  <c r="BB53" i="4"/>
  <c r="BB54" i="4"/>
  <c r="BB55" i="4"/>
  <c r="BB56" i="4"/>
  <c r="BB57" i="4"/>
  <c r="BB58" i="4"/>
  <c r="BB59" i="4"/>
  <c r="BB60" i="4"/>
  <c r="BB61" i="4"/>
  <c r="BB62" i="4"/>
  <c r="BB63" i="4"/>
  <c r="BB64" i="4"/>
  <c r="BB65" i="4"/>
  <c r="BB66" i="4"/>
  <c r="BB67" i="4"/>
  <c r="BB68" i="4"/>
  <c r="BB69" i="4"/>
  <c r="BB70" i="4"/>
  <c r="BB71" i="4"/>
  <c r="BB72" i="4"/>
  <c r="BB73" i="4"/>
  <c r="BB74" i="4"/>
  <c r="BB75" i="4"/>
  <c r="BB76" i="4"/>
  <c r="BB77" i="4"/>
  <c r="BB78" i="4"/>
  <c r="BB79" i="4"/>
  <c r="BB80" i="4"/>
  <c r="BB81" i="4"/>
  <c r="BB82" i="4"/>
  <c r="BB83" i="4"/>
  <c r="BB84" i="4"/>
  <c r="BB85" i="4"/>
  <c r="BB86" i="4"/>
  <c r="BB4" i="4"/>
  <c r="BB6" i="2"/>
  <c r="BB7" i="2"/>
  <c r="BB8" i="2"/>
  <c r="BB9" i="2"/>
  <c r="BB10" i="2"/>
  <c r="BB11" i="2"/>
  <c r="BB12" i="2"/>
  <c r="BB13" i="2"/>
  <c r="BB14" i="2"/>
  <c r="BB15" i="2"/>
  <c r="BB16" i="2"/>
  <c r="BB17" i="2"/>
  <c r="BB18" i="2"/>
  <c r="BB19" i="2"/>
  <c r="BB20" i="2"/>
  <c r="BB21" i="2"/>
  <c r="BB22" i="2"/>
  <c r="BB23" i="2"/>
  <c r="BB24" i="2"/>
  <c r="BB25" i="2"/>
  <c r="BB26" i="2"/>
  <c r="BB27" i="2"/>
  <c r="BB28" i="2"/>
  <c r="BB29" i="2"/>
  <c r="BB30" i="2"/>
  <c r="BB31" i="2"/>
  <c r="BB32" i="2"/>
  <c r="BB33" i="2"/>
  <c r="BB34" i="2"/>
  <c r="BB35" i="2"/>
  <c r="BB36" i="2"/>
  <c r="BB37" i="2"/>
  <c r="BB38" i="2"/>
  <c r="BB39" i="2"/>
  <c r="BB40" i="2"/>
  <c r="BB41" i="2"/>
  <c r="BB42" i="2"/>
  <c r="BB43" i="2"/>
  <c r="BB44" i="2"/>
  <c r="BB45" i="2"/>
  <c r="BB46" i="2"/>
  <c r="BB47" i="2"/>
  <c r="BB48" i="2"/>
  <c r="BB49" i="2"/>
  <c r="BB50" i="2"/>
  <c r="BB51" i="2"/>
  <c r="BB52" i="2"/>
  <c r="BB53" i="2"/>
  <c r="BB54" i="2"/>
  <c r="BB55" i="2"/>
  <c r="BB56" i="2"/>
  <c r="BB57" i="2"/>
  <c r="BB58" i="2"/>
  <c r="BB59" i="2"/>
  <c r="BB60" i="2"/>
  <c r="BB61" i="2"/>
  <c r="BB62" i="2"/>
  <c r="BB63" i="2"/>
  <c r="BB64" i="2"/>
  <c r="BB65" i="2"/>
  <c r="BB66" i="2"/>
  <c r="BB67" i="2"/>
  <c r="BB68" i="2"/>
  <c r="BB69" i="2"/>
  <c r="BB70" i="2"/>
  <c r="BB71" i="2"/>
  <c r="BB72" i="2"/>
  <c r="BB73" i="2"/>
  <c r="BB74" i="2"/>
  <c r="BB75" i="2"/>
  <c r="BB76" i="2"/>
  <c r="BB77" i="2"/>
  <c r="BB78" i="2"/>
  <c r="BB79" i="2"/>
  <c r="BB80" i="2"/>
  <c r="BB81" i="2"/>
  <c r="BB82" i="2"/>
  <c r="BB83" i="2"/>
  <c r="BB84" i="2"/>
  <c r="BB85" i="2"/>
  <c r="BB86" i="2"/>
  <c r="BB87" i="2"/>
  <c r="BB88" i="2"/>
  <c r="BB89" i="2"/>
  <c r="BB90" i="2"/>
  <c r="BB91" i="2"/>
  <c r="BB92" i="2"/>
  <c r="BB93" i="2"/>
  <c r="BB94" i="2"/>
  <c r="BB95" i="2"/>
  <c r="BB96" i="2"/>
  <c r="BB97" i="2"/>
  <c r="BB98" i="2"/>
  <c r="BB99" i="2"/>
  <c r="BB100" i="2"/>
  <c r="BB101" i="2"/>
  <c r="BB102" i="2"/>
  <c r="BB5" i="2"/>
  <c r="BB4" i="2"/>
  <c r="BB12" i="1"/>
  <c r="BB20" i="1"/>
  <c r="BB28" i="1"/>
  <c r="BB36" i="1"/>
  <c r="BB44" i="1"/>
  <c r="BB48" i="1"/>
  <c r="BB52" i="1"/>
  <c r="BB56" i="1"/>
  <c r="BB60" i="1"/>
  <c r="BB64" i="1"/>
  <c r="BB68" i="1"/>
  <c r="BB72" i="1"/>
  <c r="BB76" i="1"/>
  <c r="BB80" i="1"/>
  <c r="BB84" i="1"/>
  <c r="BB85" i="1"/>
  <c r="BB86" i="1"/>
  <c r="BB88" i="1"/>
  <c r="BB92" i="1"/>
  <c r="BB93" i="1"/>
  <c r="BB94" i="1"/>
  <c r="BB96" i="1"/>
  <c r="BB100" i="1"/>
  <c r="BB5" i="1"/>
  <c r="BB6" i="1"/>
  <c r="BB7" i="1"/>
  <c r="BB8" i="1"/>
  <c r="BB9" i="1"/>
  <c r="BB10" i="1"/>
  <c r="BB11" i="1"/>
  <c r="BB13" i="1"/>
  <c r="BB14" i="1"/>
  <c r="BB15" i="1"/>
  <c r="BB16" i="1"/>
  <c r="BB17" i="1"/>
  <c r="BB18" i="1"/>
  <c r="BB19" i="1"/>
  <c r="BB21" i="1"/>
  <c r="BB22" i="1"/>
  <c r="BB23" i="1"/>
  <c r="BB24" i="1"/>
  <c r="BB25" i="1"/>
  <c r="BB26" i="1"/>
  <c r="BB27" i="1"/>
  <c r="BB29" i="1"/>
  <c r="BB30" i="1"/>
  <c r="BB31" i="1"/>
  <c r="BB32" i="1"/>
  <c r="BB33" i="1"/>
  <c r="BB34" i="1"/>
  <c r="BB35" i="1"/>
  <c r="BB37" i="1"/>
  <c r="BB38" i="1"/>
  <c r="BB39" i="1"/>
  <c r="BB40" i="1"/>
  <c r="BB41" i="1"/>
  <c r="BB42" i="1"/>
  <c r="BB43" i="1"/>
  <c r="BB45" i="1"/>
  <c r="BB46" i="1"/>
  <c r="BB47" i="1"/>
  <c r="BB49" i="1"/>
  <c r="BB50" i="1"/>
  <c r="BB51" i="1"/>
  <c r="BB53" i="1"/>
  <c r="BB54" i="1"/>
  <c r="BB55" i="1"/>
  <c r="BB57" i="1"/>
  <c r="BB58" i="1"/>
  <c r="BB59" i="1"/>
  <c r="BB61" i="1"/>
  <c r="BB62" i="1"/>
  <c r="BB63" i="1"/>
  <c r="BB65" i="1"/>
  <c r="BB66" i="1"/>
  <c r="BB67" i="1"/>
  <c r="BB69" i="1"/>
  <c r="BB70" i="1"/>
  <c r="BB71" i="1"/>
  <c r="BB73" i="1"/>
  <c r="BB74" i="1"/>
  <c r="BB75" i="1"/>
  <c r="BB77" i="1"/>
  <c r="BB78" i="1"/>
  <c r="BB79" i="1"/>
  <c r="BB81" i="1"/>
  <c r="BB82" i="1"/>
  <c r="BB83" i="1"/>
  <c r="BB87" i="1"/>
  <c r="BB89" i="1"/>
  <c r="BB90" i="1"/>
  <c r="BB91" i="1"/>
  <c r="BB95" i="1"/>
  <c r="BB97" i="1"/>
  <c r="BB98" i="1"/>
  <c r="BB99" i="1"/>
  <c r="BB4" i="1"/>
  <c r="BB101" i="1" l="1"/>
  <c r="BB70" i="3"/>
  <c r="BB95" i="5"/>
  <c r="AT101" i="1" l="1"/>
  <c r="AT54" i="6"/>
  <c r="T59" i="5" l="1"/>
  <c r="T61" i="5"/>
  <c r="T64" i="5"/>
  <c r="AU5" i="4" l="1"/>
  <c r="AY5" i="4" s="1"/>
  <c r="AU6" i="4"/>
  <c r="AY6" i="4" s="1"/>
  <c r="AU7" i="4"/>
  <c r="AY7" i="4" s="1"/>
  <c r="AU8" i="4"/>
  <c r="AY8" i="4" s="1"/>
  <c r="AU9" i="4"/>
  <c r="AY9" i="4" s="1"/>
  <c r="AU10" i="4"/>
  <c r="AY10" i="4" s="1"/>
  <c r="AU11" i="4"/>
  <c r="AY11" i="4" s="1"/>
  <c r="AU12" i="4"/>
  <c r="AY12" i="4" s="1"/>
  <c r="AU13" i="4"/>
  <c r="AY13" i="4" s="1"/>
  <c r="AU14" i="4"/>
  <c r="AY14" i="4" s="1"/>
  <c r="AU15" i="4"/>
  <c r="AY15" i="4" s="1"/>
  <c r="AU16" i="4"/>
  <c r="AY16" i="4" s="1"/>
  <c r="AU17" i="4"/>
  <c r="AY17" i="4" s="1"/>
  <c r="AU18" i="4"/>
  <c r="AY18" i="4" s="1"/>
  <c r="AU19" i="4"/>
  <c r="AY19" i="4" s="1"/>
  <c r="AU20" i="4"/>
  <c r="AY20" i="4" s="1"/>
  <c r="AU21" i="4"/>
  <c r="AY21" i="4" s="1"/>
  <c r="AU22" i="4"/>
  <c r="AY22" i="4" s="1"/>
  <c r="AU23" i="4"/>
  <c r="AY23" i="4" s="1"/>
  <c r="AU24" i="4"/>
  <c r="AY24" i="4" s="1"/>
  <c r="AU25" i="4"/>
  <c r="AY25" i="4" s="1"/>
  <c r="AU26" i="4"/>
  <c r="AY26" i="4" s="1"/>
  <c r="AU27" i="4"/>
  <c r="AY27" i="4" s="1"/>
  <c r="AU28" i="4"/>
  <c r="AY28" i="4" s="1"/>
  <c r="AU29" i="4"/>
  <c r="AY29" i="4" s="1"/>
  <c r="AU30" i="4"/>
  <c r="AY30" i="4" s="1"/>
  <c r="AU31" i="4"/>
  <c r="AY31" i="4" s="1"/>
  <c r="AU32" i="4"/>
  <c r="AY32" i="4" s="1"/>
  <c r="AU33" i="4"/>
  <c r="AY33" i="4" s="1"/>
  <c r="AU34" i="4"/>
  <c r="AY34" i="4" s="1"/>
  <c r="AU35" i="4"/>
  <c r="AY35" i="4" s="1"/>
  <c r="AU36" i="4"/>
  <c r="AY36" i="4" s="1"/>
  <c r="AU37" i="4"/>
  <c r="AY37" i="4" s="1"/>
  <c r="AU38" i="4"/>
  <c r="AY38" i="4" s="1"/>
  <c r="AU39" i="4"/>
  <c r="AY39" i="4" s="1"/>
  <c r="AU40" i="4"/>
  <c r="AY40" i="4" s="1"/>
  <c r="AU41" i="4"/>
  <c r="AY41" i="4" s="1"/>
  <c r="AU42" i="4"/>
  <c r="AY42" i="4" s="1"/>
  <c r="AU43" i="4"/>
  <c r="AY43" i="4" s="1"/>
  <c r="AU44" i="4"/>
  <c r="AY44" i="4" s="1"/>
  <c r="AU45" i="4"/>
  <c r="AY45" i="4" s="1"/>
  <c r="AU46" i="4"/>
  <c r="AY46" i="4" s="1"/>
  <c r="AU47" i="4"/>
  <c r="AY47" i="4" s="1"/>
  <c r="AU48" i="4"/>
  <c r="AY48" i="4" s="1"/>
  <c r="AU49" i="4"/>
  <c r="AY49" i="4" s="1"/>
  <c r="AU50" i="4"/>
  <c r="AY50" i="4" s="1"/>
  <c r="AU51" i="4"/>
  <c r="AY51" i="4" s="1"/>
  <c r="AU52" i="4"/>
  <c r="AY52" i="4" s="1"/>
  <c r="AU53" i="4"/>
  <c r="AY53" i="4" s="1"/>
  <c r="AU54" i="4"/>
  <c r="AY54" i="4" s="1"/>
  <c r="AU55" i="4"/>
  <c r="AY55" i="4" s="1"/>
  <c r="AU56" i="4"/>
  <c r="AY56" i="4" s="1"/>
  <c r="AU57" i="4"/>
  <c r="AY57" i="4" s="1"/>
  <c r="AU58" i="4"/>
  <c r="AY58" i="4" s="1"/>
  <c r="AU59" i="4"/>
  <c r="AY59" i="4" s="1"/>
  <c r="AU60" i="4"/>
  <c r="AY60" i="4" s="1"/>
  <c r="AU61" i="4"/>
  <c r="AY61" i="4" s="1"/>
  <c r="AU62" i="4"/>
  <c r="AY62" i="4" s="1"/>
  <c r="AU63" i="4"/>
  <c r="AY63" i="4" s="1"/>
  <c r="AU64" i="4"/>
  <c r="AY64" i="4" s="1"/>
  <c r="AU65" i="4"/>
  <c r="AY65" i="4" s="1"/>
  <c r="AU66" i="4"/>
  <c r="AY66" i="4" s="1"/>
  <c r="AU67" i="4"/>
  <c r="AY67" i="4" s="1"/>
  <c r="AU68" i="4"/>
  <c r="AY68" i="4" s="1"/>
  <c r="AU69" i="4"/>
  <c r="AY69" i="4" s="1"/>
  <c r="AU70" i="4"/>
  <c r="AY70" i="4" s="1"/>
  <c r="AU71" i="4"/>
  <c r="AY71" i="4" s="1"/>
  <c r="AU72" i="4"/>
  <c r="AY72" i="4" s="1"/>
  <c r="AU73" i="4"/>
  <c r="AY73" i="4" s="1"/>
  <c r="AU74" i="4"/>
  <c r="AY74" i="4" s="1"/>
  <c r="AU75" i="4"/>
  <c r="AY75" i="4" s="1"/>
  <c r="AU76" i="4"/>
  <c r="AY76" i="4" s="1"/>
  <c r="AU77" i="4"/>
  <c r="AY77" i="4" s="1"/>
  <c r="AU78" i="4"/>
  <c r="AY78" i="4" s="1"/>
  <c r="AU79" i="4"/>
  <c r="AY79" i="4" s="1"/>
  <c r="AU80" i="4"/>
  <c r="AY80" i="4" s="1"/>
  <c r="AU81" i="4"/>
  <c r="AY81" i="4" s="1"/>
  <c r="AU82" i="4"/>
  <c r="AY82" i="4" s="1"/>
  <c r="AU83" i="4"/>
  <c r="AY83" i="4" s="1"/>
  <c r="AU84" i="4"/>
  <c r="AY84" i="4" s="1"/>
  <c r="AU85" i="4"/>
  <c r="AY85" i="4" s="1"/>
  <c r="AU86" i="4"/>
  <c r="AY86" i="4" s="1"/>
  <c r="AU4" i="4"/>
  <c r="AZ4" i="4" s="1"/>
  <c r="AZ8" i="4" l="1"/>
  <c r="AZ56" i="4"/>
  <c r="AZ72" i="4"/>
  <c r="AZ24" i="4"/>
  <c r="AZ40" i="4"/>
  <c r="AZ60" i="4"/>
  <c r="AZ28" i="4"/>
  <c r="AZ68" i="4"/>
  <c r="AZ36" i="4"/>
  <c r="AZ64" i="4"/>
  <c r="AZ32" i="4"/>
  <c r="AZ84" i="4"/>
  <c r="AZ20" i="4"/>
  <c r="AZ80" i="4"/>
  <c r="AZ48" i="4"/>
  <c r="AZ16" i="4"/>
  <c r="AZ52" i="4"/>
  <c r="AZ76" i="4"/>
  <c r="AZ44" i="4"/>
  <c r="AZ12" i="4"/>
  <c r="AY4" i="4"/>
  <c r="AZ83" i="4"/>
  <c r="AZ79" i="4"/>
  <c r="AZ75" i="4"/>
  <c r="AZ71" i="4"/>
  <c r="AZ67" i="4"/>
  <c r="AZ63" i="4"/>
  <c r="AZ59" i="4"/>
  <c r="AZ55" i="4"/>
  <c r="AZ51" i="4"/>
  <c r="AZ47" i="4"/>
  <c r="AZ43" i="4"/>
  <c r="AZ39" i="4"/>
  <c r="AZ35" i="4"/>
  <c r="AZ31" i="4"/>
  <c r="AZ27" i="4"/>
  <c r="AZ23" i="4"/>
  <c r="AZ19" i="4"/>
  <c r="AZ15" i="4"/>
  <c r="AZ11" i="4"/>
  <c r="AZ7" i="4"/>
  <c r="AZ86" i="4"/>
  <c r="AZ82" i="4"/>
  <c r="AZ78" i="4"/>
  <c r="AZ74" i="4"/>
  <c r="AZ70" i="4"/>
  <c r="AZ66" i="4"/>
  <c r="AZ62" i="4"/>
  <c r="AZ58" i="4"/>
  <c r="AZ54" i="4"/>
  <c r="AZ50" i="4"/>
  <c r="AZ46" i="4"/>
  <c r="AZ42" i="4"/>
  <c r="AZ38" i="4"/>
  <c r="AZ34" i="4"/>
  <c r="AZ30" i="4"/>
  <c r="AZ26" i="4"/>
  <c r="AZ22" i="4"/>
  <c r="AZ18" i="4"/>
  <c r="AZ14" i="4"/>
  <c r="AZ10" i="4"/>
  <c r="AZ6" i="4"/>
  <c r="AZ85" i="4"/>
  <c r="AZ81" i="4"/>
  <c r="AZ77" i="4"/>
  <c r="AZ73" i="4"/>
  <c r="AZ69" i="4"/>
  <c r="AZ65" i="4"/>
  <c r="AZ61" i="4"/>
  <c r="AZ57" i="4"/>
  <c r="AZ53" i="4"/>
  <c r="AZ49" i="4"/>
  <c r="AZ45" i="4"/>
  <c r="AZ41" i="4"/>
  <c r="AZ37" i="4"/>
  <c r="AZ33" i="4"/>
  <c r="AZ29" i="4"/>
  <c r="AZ25" i="4"/>
  <c r="AZ21" i="4"/>
  <c r="AZ17" i="4"/>
  <c r="AZ13" i="4"/>
  <c r="AZ9" i="4"/>
  <c r="AZ5" i="4"/>
  <c r="M95" i="5" l="1"/>
  <c r="N95" i="5"/>
  <c r="O95" i="5"/>
  <c r="P95" i="5"/>
  <c r="Q95" i="5"/>
  <c r="V95" i="5"/>
  <c r="W95" i="5"/>
  <c r="X95" i="5"/>
  <c r="Y95" i="5"/>
  <c r="Z95" i="5"/>
  <c r="AA95" i="5"/>
  <c r="AB95" i="5"/>
  <c r="AC95" i="5"/>
  <c r="AD95" i="5"/>
  <c r="AE95" i="5"/>
  <c r="AG95" i="5"/>
  <c r="AI95" i="5"/>
  <c r="AJ95" i="5"/>
  <c r="AK95" i="5"/>
  <c r="AM95" i="5"/>
  <c r="AO95" i="5"/>
  <c r="AP95" i="5"/>
  <c r="L95" i="5"/>
  <c r="AZ87" i="4" l="1"/>
  <c r="AY87" i="4"/>
  <c r="AW87" i="4"/>
  <c r="AX87" i="4"/>
  <c r="N87" i="4"/>
  <c r="O87" i="4"/>
  <c r="P87" i="4"/>
  <c r="Q87" i="4"/>
  <c r="R87" i="4"/>
  <c r="S87" i="4"/>
  <c r="T87" i="4"/>
  <c r="U87" i="4"/>
  <c r="V87" i="4"/>
  <c r="W87" i="4"/>
  <c r="X87" i="4"/>
  <c r="Y87" i="4"/>
  <c r="Z87" i="4"/>
  <c r="AA87" i="4"/>
  <c r="AB87" i="4"/>
  <c r="AC87" i="4"/>
  <c r="AD87" i="4"/>
  <c r="AE87" i="4"/>
  <c r="AF87" i="4"/>
  <c r="AG87" i="4"/>
  <c r="AH87" i="4"/>
  <c r="AI87" i="4"/>
  <c r="AJ87" i="4"/>
  <c r="AK87" i="4"/>
  <c r="AL87" i="4"/>
  <c r="AM87" i="4"/>
  <c r="AN87" i="4"/>
  <c r="AO87" i="4"/>
  <c r="AP87" i="4"/>
  <c r="AQ87" i="4"/>
  <c r="AR87" i="4"/>
  <c r="AS87" i="4"/>
  <c r="AT87" i="4"/>
  <c r="AV87" i="4"/>
  <c r="M87" i="4"/>
  <c r="L87" i="4"/>
  <c r="AP103" i="2"/>
  <c r="AO103" i="2"/>
  <c r="AM103" i="2"/>
  <c r="AL103" i="2"/>
  <c r="AK103" i="2"/>
  <c r="AJ103" i="2"/>
  <c r="AI103" i="2"/>
  <c r="AG103" i="2"/>
  <c r="AF103" i="2"/>
  <c r="AE103" i="2"/>
  <c r="AD103" i="2"/>
  <c r="AC103" i="2"/>
  <c r="AB103" i="2"/>
  <c r="AA103" i="2"/>
  <c r="Z103" i="2"/>
  <c r="Y103" i="2"/>
  <c r="X103" i="2"/>
  <c r="W103" i="2"/>
  <c r="V103" i="2"/>
  <c r="Q103" i="2"/>
  <c r="P103" i="2"/>
  <c r="O103" i="2"/>
  <c r="N103" i="2"/>
  <c r="M103" i="2"/>
  <c r="L103" i="2"/>
  <c r="Q54" i="6"/>
  <c r="P54" i="6"/>
  <c r="O54" i="6"/>
  <c r="N54" i="6"/>
  <c r="M54" i="6"/>
  <c r="AP54" i="6"/>
  <c r="AO54" i="6"/>
  <c r="AM54" i="6"/>
  <c r="AL54" i="6"/>
  <c r="AK54" i="6"/>
  <c r="AJ54" i="6"/>
  <c r="AI54" i="6"/>
  <c r="AG54" i="6"/>
  <c r="AF54" i="6"/>
  <c r="AE54" i="6"/>
  <c r="AD54" i="6"/>
  <c r="AC54" i="6"/>
  <c r="AB54" i="6"/>
  <c r="AA54" i="6"/>
  <c r="Z54" i="6"/>
  <c r="Y54" i="6"/>
  <c r="X54" i="6"/>
  <c r="W54" i="6"/>
  <c r="V54" i="6"/>
  <c r="L54" i="6"/>
  <c r="AU87" i="4" l="1"/>
  <c r="M70" i="3" l="1"/>
  <c r="N70" i="3"/>
  <c r="O70" i="3"/>
  <c r="P70" i="3"/>
  <c r="Q70" i="3"/>
  <c r="V70" i="3"/>
  <c r="W70" i="3"/>
  <c r="X70" i="3"/>
  <c r="Y70" i="3"/>
  <c r="Z70" i="3"/>
  <c r="AA70" i="3"/>
  <c r="AB70" i="3"/>
  <c r="AC70" i="3"/>
  <c r="AD70" i="3"/>
  <c r="AE70" i="3"/>
  <c r="AG70" i="3"/>
  <c r="AI70" i="3"/>
  <c r="AJ70" i="3"/>
  <c r="AK70" i="3"/>
  <c r="AL70" i="3"/>
  <c r="AM70" i="3"/>
  <c r="AO70" i="3"/>
  <c r="AP70" i="3"/>
  <c r="L70" i="3"/>
  <c r="AQ69" i="3"/>
  <c r="AW69" i="3" s="1"/>
  <c r="AN69" i="3"/>
  <c r="AV69" i="3" s="1"/>
  <c r="R69" i="3"/>
  <c r="T69" i="3" s="1"/>
  <c r="AQ68" i="3"/>
  <c r="AW68" i="3" s="1"/>
  <c r="AN68" i="3"/>
  <c r="AV68" i="3" s="1"/>
  <c r="R68" i="3"/>
  <c r="S68" i="3" s="1"/>
  <c r="AU68" i="3" s="1"/>
  <c r="AQ67" i="3"/>
  <c r="AW67" i="3" s="1"/>
  <c r="AN67" i="3"/>
  <c r="AV67" i="3" s="1"/>
  <c r="R67" i="3"/>
  <c r="T67" i="3" s="1"/>
  <c r="AQ66" i="3"/>
  <c r="AW66" i="3" s="1"/>
  <c r="AN66" i="3"/>
  <c r="AV66" i="3" s="1"/>
  <c r="R66" i="3"/>
  <c r="T66" i="3" s="1"/>
  <c r="AQ65" i="3"/>
  <c r="AW65" i="3" s="1"/>
  <c r="AN65" i="3"/>
  <c r="AV65" i="3" s="1"/>
  <c r="T65" i="3"/>
  <c r="S65" i="3"/>
  <c r="AU65" i="3" s="1"/>
  <c r="AQ64" i="3"/>
  <c r="AW64" i="3" s="1"/>
  <c r="AN64" i="3"/>
  <c r="AV64" i="3" s="1"/>
  <c r="R64" i="3"/>
  <c r="T64" i="3" s="1"/>
  <c r="AQ63" i="3"/>
  <c r="AW63" i="3" s="1"/>
  <c r="AN63" i="3"/>
  <c r="AV63" i="3" s="1"/>
  <c r="AF63" i="3"/>
  <c r="R63" i="3"/>
  <c r="AQ62" i="3"/>
  <c r="AW62" i="3" s="1"/>
  <c r="AN62" i="3"/>
  <c r="AV62" i="3" s="1"/>
  <c r="R62" i="3"/>
  <c r="S62" i="3" s="1"/>
  <c r="AU62" i="3" s="1"/>
  <c r="AQ61" i="3"/>
  <c r="AW61" i="3" s="1"/>
  <c r="AN61" i="3"/>
  <c r="AV61" i="3" s="1"/>
  <c r="R61" i="3"/>
  <c r="AQ60" i="3"/>
  <c r="AW60" i="3" s="1"/>
  <c r="AN60" i="3"/>
  <c r="AV60" i="3" s="1"/>
  <c r="AF60" i="3"/>
  <c r="T60" i="3"/>
  <c r="S60" i="3"/>
  <c r="AU60" i="3" s="1"/>
  <c r="AQ59" i="3"/>
  <c r="AW59" i="3" s="1"/>
  <c r="AN59" i="3"/>
  <c r="AV59" i="3" s="1"/>
  <c r="T59" i="3"/>
  <c r="S59" i="3"/>
  <c r="AU59" i="3" s="1"/>
  <c r="AQ58" i="3"/>
  <c r="AW58" i="3" s="1"/>
  <c r="AN58" i="3"/>
  <c r="AV58" i="3" s="1"/>
  <c r="R58" i="3"/>
  <c r="S58" i="3" s="1"/>
  <c r="AU58" i="3" s="1"/>
  <c r="AQ57" i="3"/>
  <c r="AW57" i="3" s="1"/>
  <c r="AN57" i="3"/>
  <c r="AV57" i="3" s="1"/>
  <c r="T57" i="3"/>
  <c r="S57" i="3"/>
  <c r="AU57" i="3" s="1"/>
  <c r="AQ56" i="3"/>
  <c r="AW56" i="3" s="1"/>
  <c r="AN56" i="3"/>
  <c r="AV56" i="3" s="1"/>
  <c r="R56" i="3"/>
  <c r="T56" i="3" s="1"/>
  <c r="AQ55" i="3"/>
  <c r="AW55" i="3" s="1"/>
  <c r="AN55" i="3"/>
  <c r="AV55" i="3" s="1"/>
  <c r="T55" i="3"/>
  <c r="S55" i="3"/>
  <c r="AU55" i="3" s="1"/>
  <c r="AQ54" i="3"/>
  <c r="AW54" i="3" s="1"/>
  <c r="AN54" i="3"/>
  <c r="AV54" i="3" s="1"/>
  <c r="R54" i="3"/>
  <c r="AQ53" i="3"/>
  <c r="AW53" i="3" s="1"/>
  <c r="AN53" i="3"/>
  <c r="AV53" i="3" s="1"/>
  <c r="T53" i="3"/>
  <c r="S53" i="3"/>
  <c r="AU53" i="3" s="1"/>
  <c r="AQ52" i="3"/>
  <c r="AW52" i="3" s="1"/>
  <c r="AN52" i="3"/>
  <c r="AV52" i="3" s="1"/>
  <c r="R52" i="3"/>
  <c r="T52" i="3" s="1"/>
  <c r="AQ51" i="3"/>
  <c r="AW51" i="3" s="1"/>
  <c r="AN51" i="3"/>
  <c r="AV51" i="3" s="1"/>
  <c r="R51" i="3"/>
  <c r="T51" i="3" s="1"/>
  <c r="AH51" i="3" s="1"/>
  <c r="AQ50" i="3"/>
  <c r="AW50" i="3" s="1"/>
  <c r="AN50" i="3"/>
  <c r="AV50" i="3" s="1"/>
  <c r="R50" i="3"/>
  <c r="T50" i="3" s="1"/>
  <c r="AQ49" i="3"/>
  <c r="AW49" i="3" s="1"/>
  <c r="AN49" i="3"/>
  <c r="AV49" i="3" s="1"/>
  <c r="T49" i="3"/>
  <c r="S49" i="3"/>
  <c r="AU49" i="3" s="1"/>
  <c r="AQ48" i="3"/>
  <c r="AW48" i="3" s="1"/>
  <c r="AN48" i="3"/>
  <c r="AV48" i="3" s="1"/>
  <c r="AF48" i="3"/>
  <c r="T48" i="3"/>
  <c r="S48" i="3"/>
  <c r="AU48" i="3" s="1"/>
  <c r="AQ47" i="3"/>
  <c r="AW47" i="3" s="1"/>
  <c r="AN47" i="3"/>
  <c r="AV47" i="3" s="1"/>
  <c r="AF47" i="3"/>
  <c r="T47" i="3"/>
  <c r="S47" i="3"/>
  <c r="AU47" i="3" s="1"/>
  <c r="AQ46" i="3"/>
  <c r="AW46" i="3" s="1"/>
  <c r="AN46" i="3"/>
  <c r="AV46" i="3" s="1"/>
  <c r="R46" i="3"/>
  <c r="S46" i="3" s="1"/>
  <c r="AU46" i="3" s="1"/>
  <c r="AQ45" i="3"/>
  <c r="AW45" i="3" s="1"/>
  <c r="AN45" i="3"/>
  <c r="AV45" i="3" s="1"/>
  <c r="T45" i="3"/>
  <c r="S45" i="3"/>
  <c r="AU45" i="3" s="1"/>
  <c r="AQ44" i="3"/>
  <c r="AW44" i="3" s="1"/>
  <c r="AN44" i="3"/>
  <c r="AV44" i="3" s="1"/>
  <c r="R44" i="3"/>
  <c r="S44" i="3" s="1"/>
  <c r="AU44" i="3" s="1"/>
  <c r="AQ43" i="3"/>
  <c r="AW43" i="3" s="1"/>
  <c r="AN43" i="3"/>
  <c r="AV43" i="3" s="1"/>
  <c r="T43" i="3"/>
  <c r="S43" i="3"/>
  <c r="AU43" i="3" s="1"/>
  <c r="AQ42" i="3"/>
  <c r="AN42" i="3"/>
  <c r="AV42" i="3" s="1"/>
  <c r="T42" i="3"/>
  <c r="S42" i="3"/>
  <c r="AU42" i="3" s="1"/>
  <c r="AQ41" i="3"/>
  <c r="AW41" i="3" s="1"/>
  <c r="AN41" i="3"/>
  <c r="AV41" i="3" s="1"/>
  <c r="R41" i="3"/>
  <c r="T41" i="3" s="1"/>
  <c r="AQ40" i="3"/>
  <c r="AW40" i="3" s="1"/>
  <c r="AN40" i="3"/>
  <c r="AV40" i="3" s="1"/>
  <c r="T40" i="3"/>
  <c r="S40" i="3"/>
  <c r="AU40" i="3" s="1"/>
  <c r="AQ39" i="3"/>
  <c r="AW39" i="3" s="1"/>
  <c r="AN39" i="3"/>
  <c r="AV39" i="3" s="1"/>
  <c r="R39" i="3"/>
  <c r="AQ38" i="3"/>
  <c r="AW38" i="3" s="1"/>
  <c r="AN38" i="3"/>
  <c r="AV38" i="3" s="1"/>
  <c r="R38" i="3"/>
  <c r="T38" i="3" s="1"/>
  <c r="AQ37" i="3"/>
  <c r="AW37" i="3" s="1"/>
  <c r="AN37" i="3"/>
  <c r="AV37" i="3" s="1"/>
  <c r="R37" i="3"/>
  <c r="T37" i="3" s="1"/>
  <c r="AQ36" i="3"/>
  <c r="AW36" i="3" s="1"/>
  <c r="AN36" i="3"/>
  <c r="AV36" i="3" s="1"/>
  <c r="R36" i="3"/>
  <c r="T36" i="3" s="1"/>
  <c r="AQ35" i="3"/>
  <c r="AW35" i="3" s="1"/>
  <c r="AN35" i="3"/>
  <c r="AV35" i="3" s="1"/>
  <c r="R35" i="3"/>
  <c r="T35" i="3" s="1"/>
  <c r="AQ34" i="3"/>
  <c r="AW34" i="3" s="1"/>
  <c r="AN34" i="3"/>
  <c r="AV34" i="3" s="1"/>
  <c r="T34" i="3"/>
  <c r="AH34" i="3" s="1"/>
  <c r="S34" i="3"/>
  <c r="AU34" i="3" s="1"/>
  <c r="AQ33" i="3"/>
  <c r="AW33" i="3" s="1"/>
  <c r="AN33" i="3"/>
  <c r="AV33" i="3" s="1"/>
  <c r="R33" i="3"/>
  <c r="T33" i="3" s="1"/>
  <c r="AQ32" i="3"/>
  <c r="AW32" i="3" s="1"/>
  <c r="AN32" i="3"/>
  <c r="AV32" i="3" s="1"/>
  <c r="R32" i="3"/>
  <c r="T32" i="3" s="1"/>
  <c r="AQ31" i="3"/>
  <c r="AW31" i="3" s="1"/>
  <c r="AN31" i="3"/>
  <c r="AV31" i="3" s="1"/>
  <c r="AF31" i="3"/>
  <c r="T31" i="3"/>
  <c r="S31" i="3"/>
  <c r="AU31" i="3" s="1"/>
  <c r="AQ30" i="3"/>
  <c r="AW30" i="3" s="1"/>
  <c r="AN30" i="3"/>
  <c r="AV30" i="3" s="1"/>
  <c r="T30" i="3"/>
  <c r="S30" i="3"/>
  <c r="AU30" i="3" s="1"/>
  <c r="AQ29" i="3"/>
  <c r="AW29" i="3" s="1"/>
  <c r="AN29" i="3"/>
  <c r="AV29" i="3" s="1"/>
  <c r="AF29" i="3"/>
  <c r="T29" i="3"/>
  <c r="S29" i="3"/>
  <c r="AU29" i="3" s="1"/>
  <c r="AQ28" i="3"/>
  <c r="AW28" i="3" s="1"/>
  <c r="AN28" i="3"/>
  <c r="AV28" i="3" s="1"/>
  <c r="T28" i="3"/>
  <c r="S28" i="3"/>
  <c r="AU28" i="3" s="1"/>
  <c r="AQ27" i="3"/>
  <c r="AW27" i="3" s="1"/>
  <c r="AN27" i="3"/>
  <c r="AV27" i="3" s="1"/>
  <c r="T27" i="3"/>
  <c r="S27" i="3"/>
  <c r="AU27" i="3" s="1"/>
  <c r="AQ26" i="3"/>
  <c r="AW26" i="3" s="1"/>
  <c r="AN26" i="3"/>
  <c r="AV26" i="3" s="1"/>
  <c r="R26" i="3"/>
  <c r="T26" i="3" s="1"/>
  <c r="AQ25" i="3"/>
  <c r="AW25" i="3" s="1"/>
  <c r="AN25" i="3"/>
  <c r="AV25" i="3" s="1"/>
  <c r="AF25" i="3"/>
  <c r="T25" i="3"/>
  <c r="S25" i="3"/>
  <c r="AU25" i="3" s="1"/>
  <c r="AQ24" i="3"/>
  <c r="AW24" i="3" s="1"/>
  <c r="AN24" i="3"/>
  <c r="AV24" i="3" s="1"/>
  <c r="AF24" i="3"/>
  <c r="T24" i="3"/>
  <c r="S24" i="3"/>
  <c r="AU24" i="3" s="1"/>
  <c r="AQ23" i="3"/>
  <c r="AW23" i="3" s="1"/>
  <c r="AN23" i="3"/>
  <c r="AV23" i="3" s="1"/>
  <c r="AF23" i="3"/>
  <c r="R23" i="3"/>
  <c r="S23" i="3" s="1"/>
  <c r="AU23" i="3" s="1"/>
  <c r="AQ22" i="3"/>
  <c r="AW22" i="3" s="1"/>
  <c r="AN22" i="3"/>
  <c r="AV22" i="3" s="1"/>
  <c r="AF22" i="3"/>
  <c r="T22" i="3"/>
  <c r="S22" i="3"/>
  <c r="AU22" i="3" s="1"/>
  <c r="AQ21" i="3"/>
  <c r="AW21" i="3" s="1"/>
  <c r="AN21" i="3"/>
  <c r="AV21" i="3" s="1"/>
  <c r="R21" i="3"/>
  <c r="AQ20" i="3"/>
  <c r="AW20" i="3" s="1"/>
  <c r="AN20" i="3"/>
  <c r="AV20" i="3" s="1"/>
  <c r="T20" i="3"/>
  <c r="S20" i="3"/>
  <c r="AU20" i="3" s="1"/>
  <c r="AQ19" i="3"/>
  <c r="AW19" i="3" s="1"/>
  <c r="AN19" i="3"/>
  <c r="AV19" i="3" s="1"/>
  <c r="AF19" i="3"/>
  <c r="T19" i="3"/>
  <c r="S19" i="3"/>
  <c r="AU19" i="3" s="1"/>
  <c r="AQ18" i="3"/>
  <c r="AW18" i="3" s="1"/>
  <c r="AN18" i="3"/>
  <c r="AV18" i="3" s="1"/>
  <c r="R18" i="3"/>
  <c r="S18" i="3" s="1"/>
  <c r="AU18" i="3" s="1"/>
  <c r="AQ17" i="3"/>
  <c r="AW17" i="3" s="1"/>
  <c r="AN17" i="3"/>
  <c r="AV17" i="3" s="1"/>
  <c r="AF17" i="3"/>
  <c r="T17" i="3"/>
  <c r="S17" i="3"/>
  <c r="AU17" i="3" s="1"/>
  <c r="AQ16" i="3"/>
  <c r="AW16" i="3" s="1"/>
  <c r="AN16" i="3"/>
  <c r="AV16" i="3" s="1"/>
  <c r="R16" i="3"/>
  <c r="S16" i="3" s="1"/>
  <c r="AU16" i="3" s="1"/>
  <c r="AQ15" i="3"/>
  <c r="AW15" i="3" s="1"/>
  <c r="AN15" i="3"/>
  <c r="AV15" i="3" s="1"/>
  <c r="AF15" i="3"/>
  <c r="T15" i="3"/>
  <c r="S15" i="3"/>
  <c r="AU15" i="3" s="1"/>
  <c r="AQ14" i="3"/>
  <c r="AW14" i="3" s="1"/>
  <c r="AN14" i="3"/>
  <c r="AV14" i="3" s="1"/>
  <c r="R14" i="3"/>
  <c r="S14" i="3" s="1"/>
  <c r="AU14" i="3" s="1"/>
  <c r="AQ13" i="3"/>
  <c r="AW13" i="3" s="1"/>
  <c r="AN13" i="3"/>
  <c r="AV13" i="3" s="1"/>
  <c r="R13" i="3"/>
  <c r="S13" i="3" s="1"/>
  <c r="AU13" i="3" s="1"/>
  <c r="AQ12" i="3"/>
  <c r="AW12" i="3" s="1"/>
  <c r="AN12" i="3"/>
  <c r="AV12" i="3" s="1"/>
  <c r="T12" i="3"/>
  <c r="S12" i="3"/>
  <c r="AU12" i="3" s="1"/>
  <c r="AQ11" i="3"/>
  <c r="AW11" i="3" s="1"/>
  <c r="AN11" i="3"/>
  <c r="AV11" i="3" s="1"/>
  <c r="R11" i="3"/>
  <c r="T11" i="3" s="1"/>
  <c r="AQ10" i="3"/>
  <c r="AW10" i="3" s="1"/>
  <c r="AN10" i="3"/>
  <c r="AV10" i="3" s="1"/>
  <c r="AF10" i="3"/>
  <c r="T10" i="3"/>
  <c r="S10" i="3"/>
  <c r="AU10" i="3" s="1"/>
  <c r="AQ9" i="3"/>
  <c r="AW9" i="3" s="1"/>
  <c r="AN9" i="3"/>
  <c r="AV9" i="3" s="1"/>
  <c r="T9" i="3"/>
  <c r="S9" i="3"/>
  <c r="AU9" i="3" s="1"/>
  <c r="AQ8" i="3"/>
  <c r="AW8" i="3" s="1"/>
  <c r="AN8" i="3"/>
  <c r="AV8" i="3" s="1"/>
  <c r="R8" i="3"/>
  <c r="T8" i="3" s="1"/>
  <c r="AQ7" i="3"/>
  <c r="AW7" i="3" s="1"/>
  <c r="AN7" i="3"/>
  <c r="AV7" i="3" s="1"/>
  <c r="R7" i="3"/>
  <c r="T7" i="3" s="1"/>
  <c r="AQ6" i="3"/>
  <c r="AW6" i="3" s="1"/>
  <c r="AN6" i="3"/>
  <c r="AV6" i="3" s="1"/>
  <c r="AF6" i="3"/>
  <c r="T6" i="3"/>
  <c r="S6" i="3"/>
  <c r="AU6" i="3" s="1"/>
  <c r="AQ5" i="3"/>
  <c r="AW5" i="3" s="1"/>
  <c r="AN5" i="3"/>
  <c r="AV5" i="3" s="1"/>
  <c r="AF5" i="3"/>
  <c r="T5" i="3"/>
  <c r="S5" i="3"/>
  <c r="AU5" i="3" s="1"/>
  <c r="AQ4" i="3"/>
  <c r="AW4" i="3" s="1"/>
  <c r="AN4" i="3"/>
  <c r="AV4" i="3" s="1"/>
  <c r="R4" i="3"/>
  <c r="S4" i="3" s="1"/>
  <c r="AU4" i="3" s="1"/>
  <c r="AH48" i="3" l="1"/>
  <c r="AF70" i="3"/>
  <c r="AH35" i="3"/>
  <c r="AH60" i="3"/>
  <c r="AR60" i="3" s="1"/>
  <c r="AS60" i="3" s="1"/>
  <c r="AH20" i="3"/>
  <c r="AR20" i="3" s="1"/>
  <c r="AS20" i="3" s="1"/>
  <c r="AH69" i="3"/>
  <c r="AH59" i="3"/>
  <c r="AR59" i="3" s="1"/>
  <c r="AS59" i="3" s="1"/>
  <c r="U70" i="3"/>
  <c r="AV70" i="3"/>
  <c r="AH30" i="3"/>
  <c r="AN70" i="3"/>
  <c r="R70" i="3"/>
  <c r="AQ70" i="3"/>
  <c r="AH56" i="3"/>
  <c r="AH52" i="3"/>
  <c r="AH12" i="3"/>
  <c r="AR12" i="3" s="1"/>
  <c r="AS12" i="3" s="1"/>
  <c r="S32" i="3"/>
  <c r="AU32" i="3" s="1"/>
  <c r="AH33" i="3"/>
  <c r="AH36" i="3"/>
  <c r="AH42" i="3"/>
  <c r="AR42" i="3" s="1"/>
  <c r="AS42" i="3" s="1"/>
  <c r="AH7" i="3"/>
  <c r="AH55" i="3"/>
  <c r="AR55" i="3" s="1"/>
  <c r="AS55" i="3" s="1"/>
  <c r="AH66" i="3"/>
  <c r="AH40" i="3"/>
  <c r="AR40" i="3" s="1"/>
  <c r="AS40" i="3" s="1"/>
  <c r="AH15" i="3"/>
  <c r="AR15" i="3" s="1"/>
  <c r="AS15" i="3" s="1"/>
  <c r="AR30" i="3"/>
  <c r="AS30" i="3" s="1"/>
  <c r="T62" i="3"/>
  <c r="AH62" i="3" s="1"/>
  <c r="AR62" i="3" s="1"/>
  <c r="AS62" i="3" s="1"/>
  <c r="T14" i="3"/>
  <c r="AH14" i="3" s="1"/>
  <c r="AR14" i="3" s="1"/>
  <c r="AS14" i="3" s="1"/>
  <c r="AH6" i="3"/>
  <c r="AR6" i="3" s="1"/>
  <c r="AS6" i="3" s="1"/>
  <c r="AH9" i="3"/>
  <c r="AR9" i="3" s="1"/>
  <c r="AS9" i="3" s="1"/>
  <c r="AH22" i="3"/>
  <c r="AR22" i="3" s="1"/>
  <c r="AS22" i="3" s="1"/>
  <c r="AH38" i="3"/>
  <c r="AH50" i="3"/>
  <c r="AH67" i="3"/>
  <c r="AH29" i="3"/>
  <c r="AR29" i="3" s="1"/>
  <c r="AS29" i="3" s="1"/>
  <c r="AX20" i="3"/>
  <c r="AY20" i="3" s="1"/>
  <c r="S36" i="3"/>
  <c r="AU36" i="3" s="1"/>
  <c r="S56" i="3"/>
  <c r="S33" i="3"/>
  <c r="AH43" i="3"/>
  <c r="AR43" i="3" s="1"/>
  <c r="AS43" i="3" s="1"/>
  <c r="T44" i="3"/>
  <c r="AH44" i="3" s="1"/>
  <c r="AR44" i="3" s="1"/>
  <c r="AS44" i="3" s="1"/>
  <c r="AH45" i="3"/>
  <c r="AR45" i="3" s="1"/>
  <c r="AS45" i="3" s="1"/>
  <c r="T46" i="3"/>
  <c r="AH46" i="3" s="1"/>
  <c r="AR46" i="3" s="1"/>
  <c r="AS46" i="3" s="1"/>
  <c r="AH47" i="3"/>
  <c r="AR47" i="3" s="1"/>
  <c r="AS47" i="3" s="1"/>
  <c r="S50" i="3"/>
  <c r="AU50" i="3" s="1"/>
  <c r="AH64" i="3"/>
  <c r="AH65" i="3"/>
  <c r="AR65" i="3" s="1"/>
  <c r="AS65" i="3" s="1"/>
  <c r="T68" i="3"/>
  <c r="AH68" i="3" s="1"/>
  <c r="AR68" i="3" s="1"/>
  <c r="AS68" i="3" s="1"/>
  <c r="T23" i="3"/>
  <c r="AH23" i="3" s="1"/>
  <c r="AR23" i="3" s="1"/>
  <c r="AS23" i="3" s="1"/>
  <c r="T16" i="3"/>
  <c r="AH16" i="3" s="1"/>
  <c r="AR16" i="3" s="1"/>
  <c r="AS16" i="3" s="1"/>
  <c r="T4" i="3"/>
  <c r="AX5" i="3"/>
  <c r="AZ5" i="3" s="1"/>
  <c r="AH11" i="3"/>
  <c r="T13" i="3"/>
  <c r="AH13" i="3" s="1"/>
  <c r="AR13" i="3" s="1"/>
  <c r="AS13" i="3" s="1"/>
  <c r="S38" i="3"/>
  <c r="AU38" i="3" s="1"/>
  <c r="AH53" i="3"/>
  <c r="AR53" i="3" s="1"/>
  <c r="AS53" i="3" s="1"/>
  <c r="AX13" i="3"/>
  <c r="AZ13" i="3" s="1"/>
  <c r="AX15" i="3"/>
  <c r="AZ15" i="3" s="1"/>
  <c r="AX19" i="3"/>
  <c r="AZ19" i="3" s="1"/>
  <c r="AX27" i="3"/>
  <c r="AZ27" i="3" s="1"/>
  <c r="AX29" i="3"/>
  <c r="AZ29" i="3" s="1"/>
  <c r="S35" i="3"/>
  <c r="AX4" i="3"/>
  <c r="AX9" i="3"/>
  <c r="AZ9" i="3" s="1"/>
  <c r="AH8" i="3"/>
  <c r="AX22" i="3"/>
  <c r="AZ22" i="3" s="1"/>
  <c r="AH26" i="3"/>
  <c r="AH28" i="3"/>
  <c r="AR28" i="3" s="1"/>
  <c r="AS28" i="3" s="1"/>
  <c r="AH37" i="3"/>
  <c r="AH41" i="3"/>
  <c r="AX55" i="3"/>
  <c r="AZ55" i="3" s="1"/>
  <c r="AH57" i="3"/>
  <c r="AR57" i="3" s="1"/>
  <c r="AS57" i="3" s="1"/>
  <c r="T58" i="3"/>
  <c r="AH58" i="3" s="1"/>
  <c r="AR58" i="3" s="1"/>
  <c r="AS58" i="3" s="1"/>
  <c r="AH10" i="3"/>
  <c r="AR10" i="3" s="1"/>
  <c r="AS10" i="3" s="1"/>
  <c r="AH49" i="3"/>
  <c r="AR49" i="3" s="1"/>
  <c r="AS49" i="3" s="1"/>
  <c r="AX43" i="3"/>
  <c r="AZ43" i="3" s="1"/>
  <c r="AH5" i="3"/>
  <c r="AR5" i="3" s="1"/>
  <c r="AS5" i="3" s="1"/>
  <c r="AX10" i="3"/>
  <c r="AZ10" i="3" s="1"/>
  <c r="AH25" i="3"/>
  <c r="AR25" i="3" s="1"/>
  <c r="AS25" i="3" s="1"/>
  <c r="AH19" i="3"/>
  <c r="AR19" i="3" s="1"/>
  <c r="AS19" i="3" s="1"/>
  <c r="AH31" i="3"/>
  <c r="AR31" i="3" s="1"/>
  <c r="AS31" i="3" s="1"/>
  <c r="AH32" i="3"/>
  <c r="AR32" i="3" s="1"/>
  <c r="AS32" i="3" s="1"/>
  <c r="AX59" i="3"/>
  <c r="AZ59" i="3" s="1"/>
  <c r="AX68" i="3"/>
  <c r="AZ68" i="3" s="1"/>
  <c r="AW42" i="3"/>
  <c r="AX42" i="3" s="1"/>
  <c r="T54" i="3"/>
  <c r="AH54" i="3" s="1"/>
  <c r="S54" i="3"/>
  <c r="AU54" i="3" s="1"/>
  <c r="AX46" i="3"/>
  <c r="AZ46" i="3" s="1"/>
  <c r="AX16" i="3"/>
  <c r="AZ16" i="3" s="1"/>
  <c r="AR34" i="3"/>
  <c r="AS34" i="3" s="1"/>
  <c r="S37" i="3"/>
  <c r="AU37" i="3" s="1"/>
  <c r="S26" i="3"/>
  <c r="AU26" i="3" s="1"/>
  <c r="AX49" i="3"/>
  <c r="AZ49" i="3" s="1"/>
  <c r="AX17" i="3"/>
  <c r="AZ17" i="3" s="1"/>
  <c r="AX24" i="3"/>
  <c r="AZ24" i="3" s="1"/>
  <c r="AX34" i="3"/>
  <c r="AZ34" i="3" s="1"/>
  <c r="S66" i="3"/>
  <c r="AU66" i="3" s="1"/>
  <c r="S7" i="3"/>
  <c r="AU7" i="3" s="1"/>
  <c r="S64" i="3"/>
  <c r="AU64" i="3" s="1"/>
  <c r="AX30" i="3"/>
  <c r="AZ30" i="3" s="1"/>
  <c r="S8" i="3"/>
  <c r="AU8" i="3" s="1"/>
  <c r="AX6" i="3"/>
  <c r="AZ6" i="3" s="1"/>
  <c r="AH27" i="3"/>
  <c r="AR27" i="3" s="1"/>
  <c r="AS27" i="3" s="1"/>
  <c r="AX31" i="3"/>
  <c r="AZ31" i="3" s="1"/>
  <c r="AR48" i="3"/>
  <c r="AS48" i="3" s="1"/>
  <c r="T61" i="3"/>
  <c r="AH61" i="3" s="1"/>
  <c r="S61" i="3"/>
  <c r="AU61" i="3" s="1"/>
  <c r="T18" i="3"/>
  <c r="AH18" i="3" s="1"/>
  <c r="AR18" i="3" s="1"/>
  <c r="AS18" i="3" s="1"/>
  <c r="S21" i="3"/>
  <c r="AU21" i="3" s="1"/>
  <c r="T21" i="3"/>
  <c r="AH21" i="3" s="1"/>
  <c r="AX12" i="3"/>
  <c r="AZ12" i="3" s="1"/>
  <c r="AX48" i="3"/>
  <c r="AX58" i="3"/>
  <c r="AZ58" i="3" s="1"/>
  <c r="AH17" i="3"/>
  <c r="AR17" i="3" s="1"/>
  <c r="AS17" i="3" s="1"/>
  <c r="AH24" i="3"/>
  <c r="AR24" i="3" s="1"/>
  <c r="AS24" i="3" s="1"/>
  <c r="AX44" i="3"/>
  <c r="AZ44" i="3" s="1"/>
  <c r="AX47" i="3"/>
  <c r="AZ47" i="3" s="1"/>
  <c r="AX57" i="3"/>
  <c r="AZ57" i="3" s="1"/>
  <c r="T63" i="3"/>
  <c r="AH63" i="3" s="1"/>
  <c r="S63" i="3"/>
  <c r="AU63" i="3" s="1"/>
  <c r="S11" i="3"/>
  <c r="AU11" i="3" s="1"/>
  <c r="AX53" i="3"/>
  <c r="AZ53" i="3" s="1"/>
  <c r="AX65" i="3"/>
  <c r="AZ65" i="3" s="1"/>
  <c r="S67" i="3"/>
  <c r="AU67" i="3" s="1"/>
  <c r="S69" i="3"/>
  <c r="AU69" i="3" s="1"/>
  <c r="AX25" i="3"/>
  <c r="AZ25" i="3" s="1"/>
  <c r="T39" i="3"/>
  <c r="AH39" i="3" s="1"/>
  <c r="S39" i="3"/>
  <c r="AU39" i="3" s="1"/>
  <c r="S41" i="3"/>
  <c r="AU41" i="3" s="1"/>
  <c r="AX60" i="3"/>
  <c r="AZ60" i="3" s="1"/>
  <c r="S51" i="3"/>
  <c r="AU51" i="3" s="1"/>
  <c r="S52" i="3"/>
  <c r="AU52" i="3" s="1"/>
  <c r="AR35" i="3" l="1"/>
  <c r="AS35" i="3" s="1"/>
  <c r="AU35" i="3"/>
  <c r="AX35" i="3" s="1"/>
  <c r="AZ35" i="3" s="1"/>
  <c r="AU56" i="3"/>
  <c r="AX56" i="3" s="1"/>
  <c r="AU33" i="3"/>
  <c r="AX33" i="3" s="1"/>
  <c r="S70" i="3"/>
  <c r="AH4" i="3"/>
  <c r="T70" i="3"/>
  <c r="AW70" i="3"/>
  <c r="AY12" i="3"/>
  <c r="AY43" i="3"/>
  <c r="AR50" i="3"/>
  <c r="AS50" i="3" s="1"/>
  <c r="AR56" i="3"/>
  <c r="AS56" i="3" s="1"/>
  <c r="AZ20" i="3"/>
  <c r="AY13" i="3"/>
  <c r="AR36" i="3"/>
  <c r="AS36" i="3" s="1"/>
  <c r="AX50" i="3"/>
  <c r="AZ50" i="3" s="1"/>
  <c r="AY5" i="3"/>
  <c r="AY9" i="3"/>
  <c r="AY19" i="3"/>
  <c r="AR33" i="3"/>
  <c r="AS33" i="3" s="1"/>
  <c r="AY15" i="3"/>
  <c r="AY34" i="3"/>
  <c r="AY22" i="3"/>
  <c r="AR38" i="3"/>
  <c r="AS38" i="3" s="1"/>
  <c r="AY55" i="3"/>
  <c r="AX36" i="3"/>
  <c r="AZ36" i="3" s="1"/>
  <c r="AY16" i="3"/>
  <c r="AY29" i="3"/>
  <c r="AY27" i="3"/>
  <c r="AY59" i="3"/>
  <c r="AY10" i="3"/>
  <c r="AY42" i="3"/>
  <c r="AZ42" i="3"/>
  <c r="AY57" i="3"/>
  <c r="AR51" i="3"/>
  <c r="AS51" i="3" s="1"/>
  <c r="AY53" i="3"/>
  <c r="AX23" i="3"/>
  <c r="AZ23" i="3" s="1"/>
  <c r="AY47" i="3"/>
  <c r="AY24" i="3"/>
  <c r="AX28" i="3"/>
  <c r="AZ28" i="3" s="1"/>
  <c r="AR67" i="3"/>
  <c r="AS67" i="3" s="1"/>
  <c r="AX14" i="3"/>
  <c r="AZ14" i="3" s="1"/>
  <c r="AY17" i="3"/>
  <c r="AX40" i="3"/>
  <c r="AZ40" i="3" s="1"/>
  <c r="AY68" i="3"/>
  <c r="AR39" i="3"/>
  <c r="AS39" i="3" s="1"/>
  <c r="AY31" i="3"/>
  <c r="AR7" i="3"/>
  <c r="AS7" i="3" s="1"/>
  <c r="AR52" i="3"/>
  <c r="AS52" i="3" s="1"/>
  <c r="AR61" i="3"/>
  <c r="AS61" i="3" s="1"/>
  <c r="AY30" i="3"/>
  <c r="AY49" i="3"/>
  <c r="AY6" i="3"/>
  <c r="AR64" i="3"/>
  <c r="AS64" i="3" s="1"/>
  <c r="AR66" i="3"/>
  <c r="AS66" i="3" s="1"/>
  <c r="AY65" i="3"/>
  <c r="AY44" i="3"/>
  <c r="AZ48" i="3"/>
  <c r="AY48" i="3"/>
  <c r="AX45" i="3"/>
  <c r="AZ45" i="3" s="1"/>
  <c r="AR8" i="3"/>
  <c r="AS8" i="3" s="1"/>
  <c r="AY46" i="3"/>
  <c r="AX32" i="3"/>
  <c r="AZ32" i="3" s="1"/>
  <c r="AR26" i="3"/>
  <c r="AS26" i="3" s="1"/>
  <c r="AR54" i="3"/>
  <c r="AS54" i="3" s="1"/>
  <c r="AY60" i="3"/>
  <c r="AX62" i="3"/>
  <c r="AZ62" i="3" s="1"/>
  <c r="AR11" i="3"/>
  <c r="AS11" i="3" s="1"/>
  <c r="AX18" i="3"/>
  <c r="AZ18" i="3" s="1"/>
  <c r="AY58" i="3"/>
  <c r="AR21" i="3"/>
  <c r="AS21" i="3" s="1"/>
  <c r="AR69" i="3"/>
  <c r="AS69" i="3" s="1"/>
  <c r="AR41" i="3"/>
  <c r="AS41" i="3" s="1"/>
  <c r="AR63" i="3"/>
  <c r="AS63" i="3" s="1"/>
  <c r="AX38" i="3"/>
  <c r="AZ38" i="3" s="1"/>
  <c r="AR37" i="3"/>
  <c r="AS37" i="3" s="1"/>
  <c r="AY25" i="3"/>
  <c r="AZ33" i="3" l="1"/>
  <c r="AY33" i="3"/>
  <c r="AZ56" i="3"/>
  <c r="AY56" i="3"/>
  <c r="AU70" i="3"/>
  <c r="AR4" i="3"/>
  <c r="AH70" i="3"/>
  <c r="AY50" i="3"/>
  <c r="AY36" i="3"/>
  <c r="AY18" i="3"/>
  <c r="AY62" i="3"/>
  <c r="AY35" i="3"/>
  <c r="AY40" i="3"/>
  <c r="AX69" i="3"/>
  <c r="AZ69" i="3" s="1"/>
  <c r="AX61" i="3"/>
  <c r="AZ61" i="3" s="1"/>
  <c r="AX8" i="3"/>
  <c r="AZ8" i="3" s="1"/>
  <c r="AX63" i="3"/>
  <c r="AZ63" i="3" s="1"/>
  <c r="AX54" i="3"/>
  <c r="AZ54" i="3" s="1"/>
  <c r="AX64" i="3"/>
  <c r="AZ64" i="3" s="1"/>
  <c r="AX52" i="3"/>
  <c r="AZ52" i="3" s="1"/>
  <c r="AX11" i="3"/>
  <c r="AZ11" i="3" s="1"/>
  <c r="AY38" i="3"/>
  <c r="AX21" i="3"/>
  <c r="AZ21" i="3" s="1"/>
  <c r="AX39" i="3"/>
  <c r="AZ39" i="3" s="1"/>
  <c r="AY45" i="3"/>
  <c r="AX51" i="3"/>
  <c r="AZ51" i="3" s="1"/>
  <c r="AX37" i="3"/>
  <c r="AZ37" i="3" s="1"/>
  <c r="AY32" i="3"/>
  <c r="AX66" i="3"/>
  <c r="AZ66" i="3" s="1"/>
  <c r="AY14" i="3"/>
  <c r="AX67" i="3"/>
  <c r="AZ67" i="3" s="1"/>
  <c r="AY23" i="3"/>
  <c r="AX41" i="3"/>
  <c r="AZ41" i="3" s="1"/>
  <c r="AX26" i="3"/>
  <c r="AZ26" i="3" s="1"/>
  <c r="AX7" i="3"/>
  <c r="AY28" i="3"/>
  <c r="AZ7" i="3" l="1"/>
  <c r="AZ70" i="3" s="1"/>
  <c r="AX70" i="3"/>
  <c r="AS4" i="3"/>
  <c r="AS70" i="3" s="1"/>
  <c r="AR70" i="3"/>
  <c r="AY54" i="3"/>
  <c r="AY63" i="3"/>
  <c r="AY51" i="3"/>
  <c r="AY69" i="3"/>
  <c r="AY67" i="3"/>
  <c r="AY11" i="3"/>
  <c r="AY66" i="3"/>
  <c r="AY52" i="3"/>
  <c r="AY7" i="3"/>
  <c r="AY61" i="3"/>
  <c r="AY26" i="3"/>
  <c r="AY8" i="3"/>
  <c r="AY64" i="3"/>
  <c r="AY37" i="3"/>
  <c r="AY21" i="3"/>
  <c r="AY39" i="3"/>
  <c r="AY41" i="3"/>
  <c r="AY70" i="3" l="1"/>
  <c r="M101" i="1"/>
  <c r="N101" i="1"/>
  <c r="O101" i="1"/>
  <c r="P101" i="1"/>
  <c r="Q101" i="1"/>
  <c r="W101" i="1"/>
  <c r="X101" i="1"/>
  <c r="Y101" i="1"/>
  <c r="Z101" i="1"/>
  <c r="AA101" i="1"/>
  <c r="AB101" i="1"/>
  <c r="AC101" i="1"/>
  <c r="AD101" i="1"/>
  <c r="AE101" i="1"/>
  <c r="AF101" i="1"/>
  <c r="AG101" i="1"/>
  <c r="AI101" i="1"/>
  <c r="AJ101" i="1"/>
  <c r="AK101" i="1"/>
  <c r="AL101" i="1"/>
  <c r="AM101" i="1"/>
  <c r="AO101" i="1"/>
  <c r="AP101" i="1"/>
  <c r="L101" i="1"/>
  <c r="R70" i="5" l="1"/>
  <c r="S70" i="5" s="1"/>
  <c r="AH70" i="5"/>
  <c r="AN70" i="5"/>
  <c r="AQ70" i="5"/>
  <c r="R72" i="5"/>
  <c r="S72" i="5" s="1"/>
  <c r="AU72" i="5" s="1"/>
  <c r="AH72" i="5"/>
  <c r="AN72" i="5"/>
  <c r="AV72" i="5" s="1"/>
  <c r="AQ72" i="5"/>
  <c r="AW72" i="5" s="1"/>
  <c r="R92" i="5"/>
  <c r="S92" i="5" s="1"/>
  <c r="AU92" i="5" s="1"/>
  <c r="AH92" i="5"/>
  <c r="AN92" i="5"/>
  <c r="AV92" i="5" s="1"/>
  <c r="AQ92" i="5"/>
  <c r="AW92" i="5" s="1"/>
  <c r="S7" i="5"/>
  <c r="AU7" i="5" s="1"/>
  <c r="T7" i="5"/>
  <c r="U7" i="5"/>
  <c r="AN7" i="5"/>
  <c r="AV7" i="5" s="1"/>
  <c r="AQ7" i="5"/>
  <c r="AW7" i="5" s="1"/>
  <c r="R8" i="5"/>
  <c r="S8" i="5" s="1"/>
  <c r="AU8" i="5" s="1"/>
  <c r="U8" i="5"/>
  <c r="AF8" i="5"/>
  <c r="AN8" i="5"/>
  <c r="AV8" i="5" s="1"/>
  <c r="AQ8" i="5"/>
  <c r="AW8" i="5" s="1"/>
  <c r="R9" i="5"/>
  <c r="S9" i="5" s="1"/>
  <c r="AU9" i="5" s="1"/>
  <c r="U9" i="5"/>
  <c r="AN9" i="5"/>
  <c r="AV9" i="5" s="1"/>
  <c r="AQ9" i="5"/>
  <c r="AW9" i="5" s="1"/>
  <c r="R10" i="5"/>
  <c r="S10" i="5" s="1"/>
  <c r="AU10" i="5" s="1"/>
  <c r="U10" i="5"/>
  <c r="AN10" i="5"/>
  <c r="AV10" i="5" s="1"/>
  <c r="AQ10" i="5"/>
  <c r="AW10" i="5" s="1"/>
  <c r="R11" i="5"/>
  <c r="U11" i="5"/>
  <c r="AN11" i="5"/>
  <c r="AV11" i="5" s="1"/>
  <c r="AQ11" i="5"/>
  <c r="AW11" i="5" s="1"/>
  <c r="R12" i="5"/>
  <c r="S12" i="5" s="1"/>
  <c r="AU12" i="5" s="1"/>
  <c r="U12" i="5"/>
  <c r="AN12" i="5"/>
  <c r="AV12" i="5" s="1"/>
  <c r="AQ12" i="5"/>
  <c r="AW12" i="5" s="1"/>
  <c r="S13" i="5"/>
  <c r="AU13" i="5" s="1"/>
  <c r="T13" i="5"/>
  <c r="U13" i="5"/>
  <c r="AF13" i="5"/>
  <c r="AN13" i="5"/>
  <c r="AV13" i="5" s="1"/>
  <c r="AQ13" i="5"/>
  <c r="AW13" i="5" s="1"/>
  <c r="R14" i="5"/>
  <c r="S14" i="5" s="1"/>
  <c r="AU14" i="5" s="1"/>
  <c r="U14" i="5"/>
  <c r="AN14" i="5"/>
  <c r="AV14" i="5" s="1"/>
  <c r="AQ14" i="5"/>
  <c r="AW14" i="5" s="1"/>
  <c r="S15" i="5"/>
  <c r="AU15" i="5" s="1"/>
  <c r="T15" i="5"/>
  <c r="U15" i="5"/>
  <c r="AN15" i="5"/>
  <c r="AV15" i="5" s="1"/>
  <c r="AQ15" i="5"/>
  <c r="AW15" i="5" s="1"/>
  <c r="S16" i="5"/>
  <c r="AU16" i="5" s="1"/>
  <c r="U16" i="5"/>
  <c r="AH16" i="5" s="1"/>
  <c r="AN16" i="5"/>
  <c r="AV16" i="5" s="1"/>
  <c r="AQ16" i="5"/>
  <c r="AW16" i="5" s="1"/>
  <c r="R17" i="5"/>
  <c r="S17" i="5" s="1"/>
  <c r="AU17" i="5" s="1"/>
  <c r="U17" i="5"/>
  <c r="AN17" i="5"/>
  <c r="AV17" i="5" s="1"/>
  <c r="AQ17" i="5"/>
  <c r="AW17" i="5" s="1"/>
  <c r="S18" i="5"/>
  <c r="AU18" i="5" s="1"/>
  <c r="T18" i="5"/>
  <c r="U18" i="5"/>
  <c r="AN18" i="5"/>
  <c r="AV18" i="5" s="1"/>
  <c r="AQ18" i="5"/>
  <c r="AW18" i="5" s="1"/>
  <c r="R19" i="5"/>
  <c r="T19" i="5" s="1"/>
  <c r="U19" i="5"/>
  <c r="AN19" i="5"/>
  <c r="AV19" i="5" s="1"/>
  <c r="AQ19" i="5"/>
  <c r="AW19" i="5" s="1"/>
  <c r="S20" i="5"/>
  <c r="AU20" i="5" s="1"/>
  <c r="T20" i="5"/>
  <c r="U20" i="5"/>
  <c r="AN20" i="5"/>
  <c r="AV20" i="5" s="1"/>
  <c r="AQ20" i="5"/>
  <c r="AW20" i="5" s="1"/>
  <c r="R73" i="5"/>
  <c r="S73" i="5" s="1"/>
  <c r="AU73" i="5" s="1"/>
  <c r="AH73" i="5"/>
  <c r="AN73" i="5"/>
  <c r="AV73" i="5" s="1"/>
  <c r="AQ73" i="5"/>
  <c r="AW73" i="5" s="1"/>
  <c r="S22" i="5"/>
  <c r="AU22" i="5" s="1"/>
  <c r="T22" i="5"/>
  <c r="AH22" i="5" s="1"/>
  <c r="AN22" i="5"/>
  <c r="AV22" i="5" s="1"/>
  <c r="AQ22" i="5"/>
  <c r="AW22" i="5" s="1"/>
  <c r="R23" i="5"/>
  <c r="U23" i="5"/>
  <c r="AN23" i="5"/>
  <c r="AV23" i="5" s="1"/>
  <c r="AQ23" i="5"/>
  <c r="AW23" i="5" s="1"/>
  <c r="R24" i="5"/>
  <c r="S24" i="5" s="1"/>
  <c r="AU24" i="5" s="1"/>
  <c r="U24" i="5"/>
  <c r="AH24" i="5" s="1"/>
  <c r="AN24" i="5"/>
  <c r="AV24" i="5" s="1"/>
  <c r="AQ24" i="5"/>
  <c r="AW24" i="5" s="1"/>
  <c r="R25" i="5"/>
  <c r="T25" i="5" s="1"/>
  <c r="U25" i="5"/>
  <c r="AN25" i="5"/>
  <c r="AV25" i="5" s="1"/>
  <c r="AQ25" i="5"/>
  <c r="AW25" i="5" s="1"/>
  <c r="S26" i="5"/>
  <c r="AU26" i="5" s="1"/>
  <c r="U26" i="5"/>
  <c r="AH26" i="5" s="1"/>
  <c r="AN26" i="5"/>
  <c r="AV26" i="5" s="1"/>
  <c r="AQ26" i="5"/>
  <c r="AW26" i="5" s="1"/>
  <c r="S27" i="5"/>
  <c r="AU27" i="5" s="1"/>
  <c r="U27" i="5"/>
  <c r="AH27" i="5" s="1"/>
  <c r="AN27" i="5"/>
  <c r="AV27" i="5" s="1"/>
  <c r="AQ27" i="5"/>
  <c r="AW27" i="5" s="1"/>
  <c r="S28" i="5"/>
  <c r="AU28" i="5" s="1"/>
  <c r="T28" i="5"/>
  <c r="U28" i="5"/>
  <c r="AN28" i="5"/>
  <c r="AV28" i="5" s="1"/>
  <c r="AQ28" i="5"/>
  <c r="AW28" i="5" s="1"/>
  <c r="S29" i="5"/>
  <c r="AU29" i="5" s="1"/>
  <c r="T29" i="5"/>
  <c r="U29" i="5"/>
  <c r="AH29" i="5" s="1"/>
  <c r="AN29" i="5"/>
  <c r="AV29" i="5" s="1"/>
  <c r="AQ29" i="5"/>
  <c r="AW29" i="5" s="1"/>
  <c r="R30" i="5"/>
  <c r="S30" i="5" s="1"/>
  <c r="AU30" i="5" s="1"/>
  <c r="U30" i="5"/>
  <c r="AN30" i="5"/>
  <c r="AV30" i="5" s="1"/>
  <c r="AQ30" i="5"/>
  <c r="AW30" i="5" s="1"/>
  <c r="S31" i="5"/>
  <c r="AU31" i="5" s="1"/>
  <c r="U31" i="5"/>
  <c r="AH31" i="5" s="1"/>
  <c r="AN31" i="5"/>
  <c r="AV31" i="5" s="1"/>
  <c r="AQ31" i="5"/>
  <c r="AW31" i="5" s="1"/>
  <c r="R32" i="5"/>
  <c r="T32" i="5" s="1"/>
  <c r="U32" i="5"/>
  <c r="AN32" i="5"/>
  <c r="AV32" i="5" s="1"/>
  <c r="AQ32" i="5"/>
  <c r="AW32" i="5" s="1"/>
  <c r="R33" i="5"/>
  <c r="T33" i="5" s="1"/>
  <c r="U33" i="5"/>
  <c r="AN33" i="5"/>
  <c r="AV33" i="5" s="1"/>
  <c r="AQ33" i="5"/>
  <c r="AW33" i="5" s="1"/>
  <c r="R34" i="5"/>
  <c r="T34" i="5" s="1"/>
  <c r="U34" i="5"/>
  <c r="AN34" i="5"/>
  <c r="AV34" i="5" s="1"/>
  <c r="AQ34" i="5"/>
  <c r="AW34" i="5" s="1"/>
  <c r="S35" i="5"/>
  <c r="AU35" i="5" s="1"/>
  <c r="U35" i="5"/>
  <c r="AH35" i="5" s="1"/>
  <c r="AN35" i="5"/>
  <c r="AV35" i="5" s="1"/>
  <c r="AQ35" i="5"/>
  <c r="AW35" i="5" s="1"/>
  <c r="S36" i="5"/>
  <c r="AU36" i="5" s="1"/>
  <c r="U36" i="5"/>
  <c r="AH36" i="5" s="1"/>
  <c r="AN36" i="5"/>
  <c r="AV36" i="5" s="1"/>
  <c r="AQ36" i="5"/>
  <c r="AW36" i="5" s="1"/>
  <c r="S37" i="5"/>
  <c r="AU37" i="5" s="1"/>
  <c r="T37" i="5"/>
  <c r="U37" i="5"/>
  <c r="AN37" i="5"/>
  <c r="AV37" i="5" s="1"/>
  <c r="AQ37" i="5"/>
  <c r="AW37" i="5" s="1"/>
  <c r="S38" i="5"/>
  <c r="U38" i="5"/>
  <c r="AH38" i="5" s="1"/>
  <c r="AN38" i="5"/>
  <c r="AV38" i="5" s="1"/>
  <c r="AQ38" i="5"/>
  <c r="AW38" i="5" s="1"/>
  <c r="S4" i="5"/>
  <c r="AU4" i="5" s="1"/>
  <c r="T4" i="5"/>
  <c r="AH4" i="5" s="1"/>
  <c r="AN4" i="5"/>
  <c r="AV4" i="5" s="1"/>
  <c r="AQ4" i="5"/>
  <c r="AW4" i="5" s="1"/>
  <c r="R40" i="5"/>
  <c r="S40" i="5" s="1"/>
  <c r="AU40" i="5" s="1"/>
  <c r="U40" i="5"/>
  <c r="AH40" i="5" s="1"/>
  <c r="AN40" i="5"/>
  <c r="AV40" i="5" s="1"/>
  <c r="AQ40" i="5"/>
  <c r="AW40" i="5" s="1"/>
  <c r="R41" i="5"/>
  <c r="S41" i="5" s="1"/>
  <c r="AU41" i="5" s="1"/>
  <c r="U41" i="5"/>
  <c r="AH41" i="5" s="1"/>
  <c r="AN41" i="5"/>
  <c r="AV41" i="5" s="1"/>
  <c r="AQ41" i="5"/>
  <c r="AW41" i="5" s="1"/>
  <c r="S42" i="5"/>
  <c r="AU42" i="5" s="1"/>
  <c r="U42" i="5"/>
  <c r="AH42" i="5" s="1"/>
  <c r="AN42" i="5"/>
  <c r="AV42" i="5" s="1"/>
  <c r="AQ42" i="5"/>
  <c r="AW42" i="5" s="1"/>
  <c r="S43" i="5"/>
  <c r="AU43" i="5" s="1"/>
  <c r="T43" i="5"/>
  <c r="AH43" i="5" s="1"/>
  <c r="AN43" i="5"/>
  <c r="AV43" i="5" s="1"/>
  <c r="AQ43" i="5"/>
  <c r="AW43" i="5" s="1"/>
  <c r="R44" i="5"/>
  <c r="S44" i="5" s="1"/>
  <c r="AU44" i="5" s="1"/>
  <c r="U44" i="5"/>
  <c r="AN44" i="5"/>
  <c r="AV44" i="5" s="1"/>
  <c r="AQ44" i="5"/>
  <c r="AW44" i="5" s="1"/>
  <c r="S45" i="5"/>
  <c r="AU45" i="5" s="1"/>
  <c r="T45" i="5"/>
  <c r="U45" i="5"/>
  <c r="AN45" i="5"/>
  <c r="AV45" i="5" s="1"/>
  <c r="AQ45" i="5"/>
  <c r="AW45" i="5" s="1"/>
  <c r="R46" i="5"/>
  <c r="S46" i="5" s="1"/>
  <c r="AU46" i="5" s="1"/>
  <c r="U46" i="5"/>
  <c r="AH46" i="5" s="1"/>
  <c r="AN46" i="5"/>
  <c r="AV46" i="5" s="1"/>
  <c r="AQ46" i="5"/>
  <c r="AW46" i="5" s="1"/>
  <c r="S5" i="5"/>
  <c r="AU5" i="5" s="1"/>
  <c r="T5" i="5"/>
  <c r="AH5" i="5" s="1"/>
  <c r="AN5" i="5"/>
  <c r="AV5" i="5" s="1"/>
  <c r="AQ5" i="5"/>
  <c r="AW5" i="5" s="1"/>
  <c r="R48" i="5"/>
  <c r="S48" i="5" s="1"/>
  <c r="AU48" i="5" s="1"/>
  <c r="U48" i="5"/>
  <c r="AN48" i="5"/>
  <c r="AV48" i="5" s="1"/>
  <c r="AQ48" i="5"/>
  <c r="AW48" i="5" s="1"/>
  <c r="S49" i="5"/>
  <c r="AU49" i="5" s="1"/>
  <c r="T49" i="5"/>
  <c r="U49" i="5"/>
  <c r="AN49" i="5"/>
  <c r="AV49" i="5" s="1"/>
  <c r="AQ49" i="5"/>
  <c r="AW49" i="5" s="1"/>
  <c r="R50" i="5"/>
  <c r="U50" i="5"/>
  <c r="AN50" i="5"/>
  <c r="AV50" i="5" s="1"/>
  <c r="AQ50" i="5"/>
  <c r="AW50" i="5" s="1"/>
  <c r="R51" i="5"/>
  <c r="T51" i="5" s="1"/>
  <c r="U51" i="5"/>
  <c r="AN51" i="5"/>
  <c r="AV51" i="5" s="1"/>
  <c r="AQ51" i="5"/>
  <c r="AW51" i="5" s="1"/>
  <c r="R52" i="5"/>
  <c r="S52" i="5" s="1"/>
  <c r="AU52" i="5" s="1"/>
  <c r="U52" i="5"/>
  <c r="AN52" i="5"/>
  <c r="AV52" i="5" s="1"/>
  <c r="AQ52" i="5"/>
  <c r="AW52" i="5" s="1"/>
  <c r="R53" i="5"/>
  <c r="S53" i="5" s="1"/>
  <c r="AU53" i="5" s="1"/>
  <c r="U53" i="5"/>
  <c r="AF53" i="5"/>
  <c r="AN53" i="5"/>
  <c r="AV53" i="5" s="1"/>
  <c r="AQ53" i="5"/>
  <c r="AW53" i="5" s="1"/>
  <c r="S39" i="5"/>
  <c r="AU39" i="5" s="1"/>
  <c r="T39" i="5"/>
  <c r="AH39" i="5" s="1"/>
  <c r="AN39" i="5"/>
  <c r="AV39" i="5" s="1"/>
  <c r="AQ39" i="5"/>
  <c r="AW39" i="5" s="1"/>
  <c r="R55" i="5"/>
  <c r="S55" i="5" s="1"/>
  <c r="AU55" i="5" s="1"/>
  <c r="U55" i="5"/>
  <c r="AH55" i="5" s="1"/>
  <c r="AN55" i="5"/>
  <c r="AV55" i="5" s="1"/>
  <c r="AQ55" i="5"/>
  <c r="AW55" i="5" s="1"/>
  <c r="R89" i="5"/>
  <c r="S89" i="5" s="1"/>
  <c r="AU89" i="5" s="1"/>
  <c r="AH89" i="5"/>
  <c r="AN89" i="5"/>
  <c r="AV89" i="5" s="1"/>
  <c r="AQ89" i="5"/>
  <c r="AW89" i="5" s="1"/>
  <c r="R57" i="5"/>
  <c r="S57" i="5" s="1"/>
  <c r="AU57" i="5" s="1"/>
  <c r="U57" i="5"/>
  <c r="AH57" i="5" s="1"/>
  <c r="AN57" i="5"/>
  <c r="AV57" i="5" s="1"/>
  <c r="AQ57" i="5"/>
  <c r="AW57" i="5" s="1"/>
  <c r="R58" i="5"/>
  <c r="S58" i="5" s="1"/>
  <c r="AU58" i="5" s="1"/>
  <c r="U58" i="5"/>
  <c r="AN58" i="5"/>
  <c r="AV58" i="5" s="1"/>
  <c r="AQ58" i="5"/>
  <c r="AW58" i="5" s="1"/>
  <c r="S59" i="5"/>
  <c r="AU59" i="5" s="1"/>
  <c r="U59" i="5"/>
  <c r="AH59" i="5" s="1"/>
  <c r="AN59" i="5"/>
  <c r="AV59" i="5" s="1"/>
  <c r="AQ59" i="5"/>
  <c r="AW59" i="5" s="1"/>
  <c r="R60" i="5"/>
  <c r="S60" i="5" s="1"/>
  <c r="AU60" i="5" s="1"/>
  <c r="U60" i="5"/>
  <c r="AN60" i="5"/>
  <c r="AV60" i="5" s="1"/>
  <c r="AQ60" i="5"/>
  <c r="AW60" i="5" s="1"/>
  <c r="S61" i="5"/>
  <c r="AU61" i="5" s="1"/>
  <c r="U61" i="5"/>
  <c r="AH61" i="5" s="1"/>
  <c r="AN61" i="5"/>
  <c r="AV61" i="5" s="1"/>
  <c r="AQ61" i="5"/>
  <c r="AW61" i="5" s="1"/>
  <c r="S47" i="5"/>
  <c r="T47" i="5"/>
  <c r="AH47" i="5" s="1"/>
  <c r="AN47" i="5"/>
  <c r="AV47" i="5" s="1"/>
  <c r="AQ47" i="5"/>
  <c r="AW47" i="5" s="1"/>
  <c r="S63" i="5"/>
  <c r="AU63" i="5" s="1"/>
  <c r="T63" i="5"/>
  <c r="U63" i="5"/>
  <c r="AN63" i="5"/>
  <c r="AV63" i="5" s="1"/>
  <c r="AQ63" i="5"/>
  <c r="AW63" i="5" s="1"/>
  <c r="S64" i="5"/>
  <c r="AU64" i="5" s="1"/>
  <c r="U64" i="5"/>
  <c r="AH64" i="5" s="1"/>
  <c r="AN64" i="5"/>
  <c r="AV64" i="5" s="1"/>
  <c r="AQ64" i="5"/>
  <c r="AW64" i="5" s="1"/>
  <c r="R65" i="5"/>
  <c r="T65" i="5" s="1"/>
  <c r="U65" i="5"/>
  <c r="AN65" i="5"/>
  <c r="AV65" i="5" s="1"/>
  <c r="AQ65" i="5"/>
  <c r="AW65" i="5" s="1"/>
  <c r="R66" i="5"/>
  <c r="S66" i="5" s="1"/>
  <c r="AU66" i="5" s="1"/>
  <c r="T66" i="5"/>
  <c r="U66" i="5"/>
  <c r="AN66" i="5"/>
  <c r="AV66" i="5" s="1"/>
  <c r="AQ66" i="5"/>
  <c r="AW66" i="5" s="1"/>
  <c r="R67" i="5"/>
  <c r="S67" i="5" s="1"/>
  <c r="AU67" i="5" s="1"/>
  <c r="U67" i="5"/>
  <c r="AH67" i="5" s="1"/>
  <c r="AN67" i="5"/>
  <c r="AV67" i="5" s="1"/>
  <c r="AQ67" i="5"/>
  <c r="AW67" i="5" s="1"/>
  <c r="S68" i="5"/>
  <c r="AU68" i="5" s="1"/>
  <c r="T68" i="5"/>
  <c r="U68" i="5"/>
  <c r="AN68" i="5"/>
  <c r="AV68" i="5" s="1"/>
  <c r="AQ68" i="5"/>
  <c r="AW68" i="5" s="1"/>
  <c r="R93" i="5"/>
  <c r="S93" i="5" s="1"/>
  <c r="AH93" i="5"/>
  <c r="AN93" i="5"/>
  <c r="AV93" i="5" s="1"/>
  <c r="AQ93" i="5"/>
  <c r="AW93" i="5" s="1"/>
  <c r="S19" i="5" l="1"/>
  <c r="AU19" i="5" s="1"/>
  <c r="AX19" i="5" s="1"/>
  <c r="T60" i="5"/>
  <c r="AH60" i="5" s="1"/>
  <c r="AR60" i="5" s="1"/>
  <c r="AS60" i="5" s="1"/>
  <c r="T52" i="5"/>
  <c r="AH52" i="5" s="1"/>
  <c r="AR52" i="5" s="1"/>
  <c r="AS52" i="5" s="1"/>
  <c r="S25" i="5"/>
  <c r="AU25" i="5" s="1"/>
  <c r="AX25" i="5" s="1"/>
  <c r="AY25" i="5" s="1"/>
  <c r="AH28" i="5"/>
  <c r="AR28" i="5" s="1"/>
  <c r="AS28" i="5" s="1"/>
  <c r="T9" i="5"/>
  <c r="AH9" i="5" s="1"/>
  <c r="AR9" i="5" s="1"/>
  <c r="AS9" i="5" s="1"/>
  <c r="T8" i="5"/>
  <c r="AH8" i="5" s="1"/>
  <c r="AR8" i="5" s="1"/>
  <c r="AS8" i="5" s="1"/>
  <c r="T48" i="5"/>
  <c r="AH48" i="5" s="1"/>
  <c r="AR48" i="5" s="1"/>
  <c r="AS48" i="5" s="1"/>
  <c r="S65" i="5"/>
  <c r="AU65" i="5" s="1"/>
  <c r="AX65" i="5" s="1"/>
  <c r="AY65" i="5" s="1"/>
  <c r="AH25" i="5"/>
  <c r="T12" i="5"/>
  <c r="AH12" i="5" s="1"/>
  <c r="AR12" i="5" s="1"/>
  <c r="AS12" i="5" s="1"/>
  <c r="AH33" i="5"/>
  <c r="T14" i="5"/>
  <c r="AH14" i="5" s="1"/>
  <c r="AR14" i="5" s="1"/>
  <c r="AS14" i="5" s="1"/>
  <c r="T10" i="5"/>
  <c r="AH10" i="5" s="1"/>
  <c r="AR10" i="5" s="1"/>
  <c r="AS10" i="5" s="1"/>
  <c r="AH15" i="5"/>
  <c r="AR15" i="5" s="1"/>
  <c r="AS15" i="5" s="1"/>
  <c r="AH7" i="5"/>
  <c r="AR7" i="5" s="1"/>
  <c r="AX13" i="5"/>
  <c r="AZ13" i="5" s="1"/>
  <c r="S33" i="5"/>
  <c r="AU33" i="5" s="1"/>
  <c r="AX33" i="5" s="1"/>
  <c r="T58" i="5"/>
  <c r="AH58" i="5" s="1"/>
  <c r="AR58" i="5" s="1"/>
  <c r="AS58" i="5" s="1"/>
  <c r="AR26" i="5"/>
  <c r="AS26" i="5" s="1"/>
  <c r="AH45" i="5"/>
  <c r="AR45" i="5" s="1"/>
  <c r="AS45" i="5" s="1"/>
  <c r="T30" i="5"/>
  <c r="AH30" i="5" s="1"/>
  <c r="AR30" i="5" s="1"/>
  <c r="AS30" i="5" s="1"/>
  <c r="AH13" i="5"/>
  <c r="AR13" i="5" s="1"/>
  <c r="AS13" i="5" s="1"/>
  <c r="AU70" i="5"/>
  <c r="AV70" i="5"/>
  <c r="AX28" i="5"/>
  <c r="AZ28" i="5" s="1"/>
  <c r="AU38" i="5"/>
  <c r="AX38" i="5" s="1"/>
  <c r="T17" i="5"/>
  <c r="AH17" i="5" s="1"/>
  <c r="AR17" i="5" s="1"/>
  <c r="AS17" i="5" s="1"/>
  <c r="AH32" i="5"/>
  <c r="AR47" i="5"/>
  <c r="AS47" i="5" s="1"/>
  <c r="AU47" i="5"/>
  <c r="AX47" i="5" s="1"/>
  <c r="AW70" i="5"/>
  <c r="AH68" i="5"/>
  <c r="AR68" i="5" s="1"/>
  <c r="AS68" i="5" s="1"/>
  <c r="AH49" i="5"/>
  <c r="AR49" i="5" s="1"/>
  <c r="AS49" i="5" s="1"/>
  <c r="AR93" i="5"/>
  <c r="AS93" i="5" s="1"/>
  <c r="AU93" i="5"/>
  <c r="AX93" i="5" s="1"/>
  <c r="AZ93" i="5" s="1"/>
  <c r="AH63" i="5"/>
  <c r="AR63" i="5" s="1"/>
  <c r="AS63" i="5" s="1"/>
  <c r="AR59" i="5"/>
  <c r="AS59" i="5" s="1"/>
  <c r="S51" i="5"/>
  <c r="AU51" i="5" s="1"/>
  <c r="AX51" i="5" s="1"/>
  <c r="AZ51" i="5" s="1"/>
  <c r="AX45" i="5"/>
  <c r="AY45" i="5" s="1"/>
  <c r="AH20" i="5"/>
  <c r="AR20" i="5" s="1"/>
  <c r="AS20" i="5" s="1"/>
  <c r="AR38" i="5"/>
  <c r="AS38" i="5" s="1"/>
  <c r="AR36" i="5"/>
  <c r="AS36" i="5" s="1"/>
  <c r="AX30" i="5"/>
  <c r="AZ30" i="5" s="1"/>
  <c r="AR29" i="5"/>
  <c r="AS29" i="5" s="1"/>
  <c r="AR92" i="5"/>
  <c r="AS92" i="5" s="1"/>
  <c r="AX57" i="5"/>
  <c r="AZ57" i="5" s="1"/>
  <c r="AX31" i="5"/>
  <c r="AY31" i="5" s="1"/>
  <c r="AR16" i="5"/>
  <c r="AS16" i="5" s="1"/>
  <c r="AX49" i="5"/>
  <c r="AZ49" i="5" s="1"/>
  <c r="AR4" i="5"/>
  <c r="AS4" i="5" s="1"/>
  <c r="AX16" i="5"/>
  <c r="AZ16" i="5" s="1"/>
  <c r="AR22" i="5"/>
  <c r="AS22" i="5" s="1"/>
  <c r="AX8" i="5"/>
  <c r="AZ8" i="5" s="1"/>
  <c r="AX7" i="5"/>
  <c r="AZ7" i="5" s="1"/>
  <c r="AH65" i="5"/>
  <c r="AR43" i="5"/>
  <c r="AS43" i="5" s="1"/>
  <c r="AR55" i="5"/>
  <c r="AS55" i="5" s="1"/>
  <c r="AX15" i="5"/>
  <c r="AR67" i="5"/>
  <c r="AS67" i="5" s="1"/>
  <c r="AH34" i="5"/>
  <c r="AX59" i="5"/>
  <c r="AY59" i="5" s="1"/>
  <c r="AH51" i="5"/>
  <c r="AR5" i="5"/>
  <c r="AS5" i="5" s="1"/>
  <c r="AX92" i="5"/>
  <c r="AZ92" i="5" s="1"/>
  <c r="AR70" i="5"/>
  <c r="AS70" i="5" s="1"/>
  <c r="AX40" i="5"/>
  <c r="AZ40" i="5" s="1"/>
  <c r="AR73" i="5"/>
  <c r="AS73" i="5" s="1"/>
  <c r="AX46" i="5"/>
  <c r="AZ46" i="5" s="1"/>
  <c r="AX29" i="5"/>
  <c r="AZ29" i="5" s="1"/>
  <c r="AX14" i="5"/>
  <c r="AX52" i="5"/>
  <c r="AZ52" i="5" s="1"/>
  <c r="AR31" i="5"/>
  <c r="AS31" i="5" s="1"/>
  <c r="AX60" i="5"/>
  <c r="AR46" i="5"/>
  <c r="AS46" i="5" s="1"/>
  <c r="AX37" i="5"/>
  <c r="AZ37" i="5" s="1"/>
  <c r="AR27" i="5"/>
  <c r="AS27" i="5" s="1"/>
  <c r="AR24" i="5"/>
  <c r="AS24" i="5" s="1"/>
  <c r="AH19" i="5"/>
  <c r="S11" i="5"/>
  <c r="AU11" i="5" s="1"/>
  <c r="T11" i="5"/>
  <c r="AH11" i="5" s="1"/>
  <c r="AX55" i="5"/>
  <c r="AZ55" i="5" s="1"/>
  <c r="AR39" i="5"/>
  <c r="AS39" i="5" s="1"/>
  <c r="AX26" i="5"/>
  <c r="AZ26" i="5" s="1"/>
  <c r="S23" i="5"/>
  <c r="AU23" i="5" s="1"/>
  <c r="T23" i="5"/>
  <c r="AH23" i="5" s="1"/>
  <c r="AX22" i="5"/>
  <c r="AR61" i="5"/>
  <c r="AS61" i="5" s="1"/>
  <c r="S50" i="5"/>
  <c r="AU50" i="5" s="1"/>
  <c r="T50" i="5"/>
  <c r="AH50" i="5" s="1"/>
  <c r="AX66" i="5"/>
  <c r="AZ66" i="5" s="1"/>
  <c r="AX18" i="5"/>
  <c r="AZ18" i="5" s="1"/>
  <c r="AX63" i="5"/>
  <c r="AX42" i="5"/>
  <c r="AZ42" i="5" s="1"/>
  <c r="AR41" i="5"/>
  <c r="AS41" i="5" s="1"/>
  <c r="AR40" i="5"/>
  <c r="AS40" i="5" s="1"/>
  <c r="AR57" i="5"/>
  <c r="AS57" i="5" s="1"/>
  <c r="T53" i="5"/>
  <c r="AH53" i="5" s="1"/>
  <c r="AR53" i="5" s="1"/>
  <c r="AS53" i="5" s="1"/>
  <c r="AX4" i="5"/>
  <c r="AX36" i="5"/>
  <c r="AZ36" i="5" s="1"/>
  <c r="AR35" i="5"/>
  <c r="AS35" i="5" s="1"/>
  <c r="S34" i="5"/>
  <c r="AU34" i="5" s="1"/>
  <c r="AR72" i="5"/>
  <c r="AS72" i="5" s="1"/>
  <c r="AX72" i="5"/>
  <c r="AZ72" i="5" s="1"/>
  <c r="AH37" i="5"/>
  <c r="AR37" i="5" s="1"/>
  <c r="AS37" i="5" s="1"/>
  <c r="AX89" i="5"/>
  <c r="AZ89" i="5" s="1"/>
  <c r="AX5" i="5"/>
  <c r="AZ5" i="5" s="1"/>
  <c r="AX67" i="5"/>
  <c r="AZ67" i="5" s="1"/>
  <c r="AR64" i="5"/>
  <c r="AS64" i="5" s="1"/>
  <c r="AR89" i="5"/>
  <c r="AS89" i="5" s="1"/>
  <c r="AX53" i="5"/>
  <c r="AZ53" i="5" s="1"/>
  <c r="AX12" i="5"/>
  <c r="AX48" i="5"/>
  <c r="AZ48" i="5" s="1"/>
  <c r="T44" i="5"/>
  <c r="AH44" i="5" s="1"/>
  <c r="AR44" i="5" s="1"/>
  <c r="AS44" i="5" s="1"/>
  <c r="S32" i="5"/>
  <c r="AU32" i="5" s="1"/>
  <c r="AX41" i="5"/>
  <c r="AZ41" i="5" s="1"/>
  <c r="AH66" i="5"/>
  <c r="AR66" i="5" s="1"/>
  <c r="AS66" i="5" s="1"/>
  <c r="AR42" i="5"/>
  <c r="AS42" i="5" s="1"/>
  <c r="AX20" i="5"/>
  <c r="AZ20" i="5" s="1"/>
  <c r="AH18" i="5"/>
  <c r="AR18" i="5" s="1"/>
  <c r="AS18" i="5" s="1"/>
  <c r="AR65" i="5" l="1"/>
  <c r="AS65" i="5" s="1"/>
  <c r="AR25" i="5"/>
  <c r="AS25" i="5" s="1"/>
  <c r="AR19" i="5"/>
  <c r="AS19" i="5" s="1"/>
  <c r="AY28" i="5"/>
  <c r="AZ31" i="5"/>
  <c r="AY13" i="5"/>
  <c r="AZ65" i="5"/>
  <c r="AY16" i="5"/>
  <c r="AY38" i="5"/>
  <c r="AZ38" i="5"/>
  <c r="AZ25" i="5"/>
  <c r="AR33" i="5"/>
  <c r="AS33" i="5" s="1"/>
  <c r="AZ45" i="5"/>
  <c r="AY7" i="5"/>
  <c r="AY8" i="5"/>
  <c r="AX70" i="5"/>
  <c r="AZ70" i="5" s="1"/>
  <c r="AR51" i="5"/>
  <c r="AS51" i="5" s="1"/>
  <c r="AY67" i="5"/>
  <c r="AZ59" i="5"/>
  <c r="AY57" i="5"/>
  <c r="AS7" i="5"/>
  <c r="AY26" i="5"/>
  <c r="AY20" i="5"/>
  <c r="AY15" i="5"/>
  <c r="AZ15" i="5"/>
  <c r="AY36" i="5"/>
  <c r="AY46" i="5"/>
  <c r="AY48" i="5"/>
  <c r="AY49" i="5"/>
  <c r="AY93" i="5"/>
  <c r="AY30" i="5"/>
  <c r="AY52" i="5"/>
  <c r="AY4" i="5"/>
  <c r="AZ4" i="5"/>
  <c r="AX39" i="5"/>
  <c r="AZ39" i="5" s="1"/>
  <c r="AY89" i="5"/>
  <c r="AY92" i="5"/>
  <c r="AY33" i="5"/>
  <c r="AZ33" i="5"/>
  <c r="AY42" i="5"/>
  <c r="AY14" i="5"/>
  <c r="AZ14" i="5"/>
  <c r="AX44" i="5"/>
  <c r="AZ44" i="5" s="1"/>
  <c r="AX9" i="5"/>
  <c r="AZ9" i="5" s="1"/>
  <c r="AZ63" i="5"/>
  <c r="AY63" i="5"/>
  <c r="AX10" i="5"/>
  <c r="AZ10" i="5" s="1"/>
  <c r="AX68" i="5"/>
  <c r="AZ68" i="5" s="1"/>
  <c r="AR32" i="5"/>
  <c r="AS32" i="5" s="1"/>
  <c r="AY55" i="5"/>
  <c r="AX64" i="5"/>
  <c r="AZ64" i="5" s="1"/>
  <c r="AY18" i="5"/>
  <c r="AR34" i="5"/>
  <c r="AS34" i="5" s="1"/>
  <c r="AY47" i="5"/>
  <c r="AZ47" i="5"/>
  <c r="AY22" i="5"/>
  <c r="AZ22" i="5"/>
  <c r="AY37" i="5"/>
  <c r="AY5" i="5"/>
  <c r="AY19" i="5"/>
  <c r="AZ19" i="5"/>
  <c r="AX17" i="5"/>
  <c r="AZ17" i="5" s="1"/>
  <c r="AY53" i="5"/>
  <c r="AY66" i="5"/>
  <c r="AX27" i="5"/>
  <c r="AZ27" i="5" s="1"/>
  <c r="AX24" i="5"/>
  <c r="AZ24" i="5" s="1"/>
  <c r="AX35" i="5"/>
  <c r="AZ35" i="5" s="1"/>
  <c r="AY51" i="5"/>
  <c r="AR11" i="5"/>
  <c r="AS11" i="5" s="1"/>
  <c r="AX73" i="5"/>
  <c r="AZ73" i="5" s="1"/>
  <c r="AX58" i="5"/>
  <c r="AZ58" i="5" s="1"/>
  <c r="AY29" i="5"/>
  <c r="AY41" i="5"/>
  <c r="AR50" i="5"/>
  <c r="AS50" i="5" s="1"/>
  <c r="AR23" i="5"/>
  <c r="AS23" i="5" s="1"/>
  <c r="AZ60" i="5"/>
  <c r="AY60" i="5"/>
  <c r="AX43" i="5"/>
  <c r="AZ43" i="5" s="1"/>
  <c r="AY72" i="5"/>
  <c r="AX61" i="5"/>
  <c r="AZ61" i="5" s="1"/>
  <c r="AY40" i="5"/>
  <c r="AY44" i="5" l="1"/>
  <c r="AY70" i="5"/>
  <c r="AY58" i="5"/>
  <c r="AY43" i="5"/>
  <c r="AY24" i="5"/>
  <c r="AX23" i="5"/>
  <c r="AZ23" i="5" s="1"/>
  <c r="AY73" i="5"/>
  <c r="AY39" i="5"/>
  <c r="AY61" i="5"/>
  <c r="AX11" i="5"/>
  <c r="AZ11" i="5" s="1"/>
  <c r="AY64" i="5"/>
  <c r="AY10" i="5"/>
  <c r="AY35" i="5"/>
  <c r="AX32" i="5"/>
  <c r="AZ32" i="5" s="1"/>
  <c r="AX50" i="5"/>
  <c r="AZ50" i="5" s="1"/>
  <c r="AY27" i="5"/>
  <c r="AX34" i="5"/>
  <c r="AY68" i="5"/>
  <c r="AY9" i="5"/>
  <c r="AY17" i="5"/>
  <c r="AY23" i="5" l="1"/>
  <c r="AY50" i="5"/>
  <c r="AY32" i="5"/>
  <c r="AY11" i="5"/>
  <c r="AQ94" i="5" l="1"/>
  <c r="AW94" i="5" s="1"/>
  <c r="AN94" i="5"/>
  <c r="AV94" i="5" s="1"/>
  <c r="U94" i="5"/>
  <c r="AH94" i="5" s="1"/>
  <c r="S94" i="5"/>
  <c r="AU94" i="5" s="1"/>
  <c r="AQ56" i="5"/>
  <c r="AW56" i="5" s="1"/>
  <c r="AN56" i="5"/>
  <c r="AV56" i="5" s="1"/>
  <c r="T56" i="5"/>
  <c r="AH56" i="5" s="1"/>
  <c r="S56" i="5"/>
  <c r="AU56" i="5" s="1"/>
  <c r="AQ21" i="5"/>
  <c r="AW21" i="5" s="1"/>
  <c r="AN21" i="5"/>
  <c r="AV21" i="5" s="1"/>
  <c r="T21" i="5"/>
  <c r="AH21" i="5" s="1"/>
  <c r="S21" i="5"/>
  <c r="AU21" i="5" s="1"/>
  <c r="AQ91" i="5"/>
  <c r="AW91" i="5" s="1"/>
  <c r="AL91" i="5"/>
  <c r="AN91" i="5" s="1"/>
  <c r="AV91" i="5" s="1"/>
  <c r="U91" i="5"/>
  <c r="T91" i="5"/>
  <c r="S91" i="5"/>
  <c r="AU91" i="5" s="1"/>
  <c r="AQ90" i="5"/>
  <c r="AW90" i="5" s="1"/>
  <c r="AN90" i="5"/>
  <c r="AV90" i="5" s="1"/>
  <c r="U90" i="5"/>
  <c r="AH90" i="5" s="1"/>
  <c r="R90" i="5"/>
  <c r="S90" i="5" s="1"/>
  <c r="AU90" i="5" s="1"/>
  <c r="AQ69" i="5"/>
  <c r="AW69" i="5" s="1"/>
  <c r="AN69" i="5"/>
  <c r="AV69" i="5" s="1"/>
  <c r="AH69" i="5"/>
  <c r="S69" i="5"/>
  <c r="AU69" i="5" s="1"/>
  <c r="AQ88" i="5"/>
  <c r="AW88" i="5" s="1"/>
  <c r="AN88" i="5"/>
  <c r="AV88" i="5" s="1"/>
  <c r="U88" i="5"/>
  <c r="T88" i="5"/>
  <c r="R88" i="5"/>
  <c r="S88" i="5" s="1"/>
  <c r="AU88" i="5" s="1"/>
  <c r="AQ87" i="5"/>
  <c r="AW87" i="5" s="1"/>
  <c r="AN87" i="5"/>
  <c r="AV87" i="5" s="1"/>
  <c r="U87" i="5"/>
  <c r="AH87" i="5" s="1"/>
  <c r="S87" i="5"/>
  <c r="AU87" i="5" s="1"/>
  <c r="AQ86" i="5"/>
  <c r="AW86" i="5" s="1"/>
  <c r="AN86" i="5"/>
  <c r="AV86" i="5" s="1"/>
  <c r="U86" i="5"/>
  <c r="AH86" i="5" s="1"/>
  <c r="R86" i="5"/>
  <c r="S86" i="5" s="1"/>
  <c r="AU86" i="5" s="1"/>
  <c r="AQ85" i="5"/>
  <c r="AW85" i="5" s="1"/>
  <c r="AN85" i="5"/>
  <c r="AV85" i="5" s="1"/>
  <c r="U85" i="5"/>
  <c r="R85" i="5"/>
  <c r="T85" i="5" s="1"/>
  <c r="AQ84" i="5"/>
  <c r="AW84" i="5" s="1"/>
  <c r="AN84" i="5"/>
  <c r="AV84" i="5" s="1"/>
  <c r="U84" i="5"/>
  <c r="T84" i="5"/>
  <c r="S84" i="5"/>
  <c r="AU84" i="5" s="1"/>
  <c r="AQ83" i="5"/>
  <c r="AW83" i="5" s="1"/>
  <c r="AN83" i="5"/>
  <c r="AV83" i="5" s="1"/>
  <c r="U83" i="5"/>
  <c r="AH83" i="5" s="1"/>
  <c r="R83" i="5"/>
  <c r="S83" i="5" s="1"/>
  <c r="AU83" i="5" s="1"/>
  <c r="AQ82" i="5"/>
  <c r="AW82" i="5" s="1"/>
  <c r="AN82" i="5"/>
  <c r="AV82" i="5" s="1"/>
  <c r="U82" i="5"/>
  <c r="R82" i="5"/>
  <c r="T82" i="5" s="1"/>
  <c r="AQ81" i="5"/>
  <c r="AW81" i="5" s="1"/>
  <c r="AL81" i="5"/>
  <c r="U81" i="5"/>
  <c r="T81" i="5"/>
  <c r="S81" i="5"/>
  <c r="AU81" i="5" s="1"/>
  <c r="AQ80" i="5"/>
  <c r="AW80" i="5" s="1"/>
  <c r="AN80" i="5"/>
  <c r="AV80" i="5" s="1"/>
  <c r="U80" i="5"/>
  <c r="R80" i="5"/>
  <c r="T80" i="5" s="1"/>
  <c r="AQ79" i="5"/>
  <c r="AW79" i="5" s="1"/>
  <c r="AN79" i="5"/>
  <c r="AV79" i="5" s="1"/>
  <c r="AF79" i="5"/>
  <c r="AF95" i="5" s="1"/>
  <c r="U79" i="5"/>
  <c r="T79" i="5"/>
  <c r="S79" i="5"/>
  <c r="AU79" i="5" s="1"/>
  <c r="AQ78" i="5"/>
  <c r="AW78" i="5" s="1"/>
  <c r="AN78" i="5"/>
  <c r="AV78" i="5" s="1"/>
  <c r="U78" i="5"/>
  <c r="AH78" i="5" s="1"/>
  <c r="R78" i="5"/>
  <c r="S78" i="5" s="1"/>
  <c r="AU78" i="5" s="1"/>
  <c r="AQ77" i="5"/>
  <c r="AW77" i="5" s="1"/>
  <c r="AN77" i="5"/>
  <c r="AV77" i="5" s="1"/>
  <c r="U77" i="5"/>
  <c r="AH77" i="5" s="1"/>
  <c r="R77" i="5"/>
  <c r="S77" i="5" s="1"/>
  <c r="AU77" i="5" s="1"/>
  <c r="AQ76" i="5"/>
  <c r="AW76" i="5" s="1"/>
  <c r="AN76" i="5"/>
  <c r="AV76" i="5" s="1"/>
  <c r="U76" i="5"/>
  <c r="R76" i="5"/>
  <c r="AQ75" i="5"/>
  <c r="AW75" i="5" s="1"/>
  <c r="AN75" i="5"/>
  <c r="AV75" i="5" s="1"/>
  <c r="U75" i="5"/>
  <c r="T75" i="5"/>
  <c r="S75" i="5"/>
  <c r="AU75" i="5" s="1"/>
  <c r="AQ74" i="5"/>
  <c r="AW74" i="5" s="1"/>
  <c r="AN74" i="5"/>
  <c r="AV74" i="5" s="1"/>
  <c r="U74" i="5"/>
  <c r="T74" i="5"/>
  <c r="S74" i="5"/>
  <c r="AU74" i="5" s="1"/>
  <c r="AQ62" i="5"/>
  <c r="AW62" i="5" s="1"/>
  <c r="AN62" i="5"/>
  <c r="AV62" i="5" s="1"/>
  <c r="T62" i="5"/>
  <c r="AH62" i="5" s="1"/>
  <c r="S62" i="5"/>
  <c r="AU62" i="5" s="1"/>
  <c r="AQ54" i="5"/>
  <c r="AW54" i="5" s="1"/>
  <c r="AN54" i="5"/>
  <c r="AV54" i="5" s="1"/>
  <c r="T54" i="5"/>
  <c r="AH54" i="5" s="1"/>
  <c r="S54" i="5"/>
  <c r="AU54" i="5" s="1"/>
  <c r="AQ71" i="5"/>
  <c r="AW71" i="5" s="1"/>
  <c r="AN71" i="5"/>
  <c r="AV71" i="5" s="1"/>
  <c r="U71" i="5"/>
  <c r="T71" i="5"/>
  <c r="S71" i="5"/>
  <c r="AU71" i="5" s="1"/>
  <c r="AQ6" i="5"/>
  <c r="AN6" i="5"/>
  <c r="T6" i="5"/>
  <c r="S6" i="5"/>
  <c r="AQ53" i="6"/>
  <c r="AW53" i="6" s="1"/>
  <c r="AN53" i="6"/>
  <c r="AV53" i="6" s="1"/>
  <c r="U53" i="6"/>
  <c r="R53" i="6"/>
  <c r="S53" i="6" s="1"/>
  <c r="AU53" i="6" s="1"/>
  <c r="AQ52" i="6"/>
  <c r="AW52" i="6" s="1"/>
  <c r="AN52" i="6"/>
  <c r="AV52" i="6" s="1"/>
  <c r="U52" i="6"/>
  <c r="R52" i="6"/>
  <c r="S52" i="6" s="1"/>
  <c r="AU52" i="6" s="1"/>
  <c r="AQ51" i="6"/>
  <c r="AW51" i="6" s="1"/>
  <c r="AN51" i="6"/>
  <c r="AV51" i="6" s="1"/>
  <c r="U51" i="6"/>
  <c r="R51" i="6"/>
  <c r="T51" i="6" s="1"/>
  <c r="AQ50" i="6"/>
  <c r="AW50" i="6" s="1"/>
  <c r="AN50" i="6"/>
  <c r="AV50" i="6" s="1"/>
  <c r="U50" i="6"/>
  <c r="R50" i="6"/>
  <c r="T50" i="6" s="1"/>
  <c r="AQ49" i="6"/>
  <c r="AW49" i="6" s="1"/>
  <c r="AN49" i="6"/>
  <c r="AV49" i="6" s="1"/>
  <c r="U49" i="6"/>
  <c r="R49" i="6"/>
  <c r="S49" i="6" s="1"/>
  <c r="AU49" i="6" s="1"/>
  <c r="AQ48" i="6"/>
  <c r="AW48" i="6" s="1"/>
  <c r="AN48" i="6"/>
  <c r="AV48" i="6" s="1"/>
  <c r="U48" i="6"/>
  <c r="R48" i="6"/>
  <c r="AQ47" i="6"/>
  <c r="AW47" i="6" s="1"/>
  <c r="AN47" i="6"/>
  <c r="AV47" i="6" s="1"/>
  <c r="U47" i="6"/>
  <c r="R47" i="6"/>
  <c r="T47" i="6" s="1"/>
  <c r="AQ46" i="6"/>
  <c r="AW46" i="6" s="1"/>
  <c r="AN46" i="6"/>
  <c r="AV46" i="6" s="1"/>
  <c r="U46" i="6"/>
  <c r="R46" i="6"/>
  <c r="T46" i="6" s="1"/>
  <c r="AH46" i="6" s="1"/>
  <c r="AQ45" i="6"/>
  <c r="AW45" i="6" s="1"/>
  <c r="AN45" i="6"/>
  <c r="AV45" i="6" s="1"/>
  <c r="U45" i="6"/>
  <c r="R45" i="6"/>
  <c r="T45" i="6" s="1"/>
  <c r="AQ44" i="6"/>
  <c r="AW44" i="6" s="1"/>
  <c r="AN44" i="6"/>
  <c r="AV44" i="6" s="1"/>
  <c r="U44" i="6"/>
  <c r="R44" i="6"/>
  <c r="S44" i="6" s="1"/>
  <c r="AU44" i="6" s="1"/>
  <c r="AQ43" i="6"/>
  <c r="AW43" i="6" s="1"/>
  <c r="AN43" i="6"/>
  <c r="AV43" i="6" s="1"/>
  <c r="U43" i="6"/>
  <c r="R43" i="6"/>
  <c r="S43" i="6" s="1"/>
  <c r="AU43" i="6" s="1"/>
  <c r="AQ42" i="6"/>
  <c r="AW42" i="6" s="1"/>
  <c r="AN42" i="6"/>
  <c r="AV42" i="6" s="1"/>
  <c r="U42" i="6"/>
  <c r="R42" i="6"/>
  <c r="T42" i="6" s="1"/>
  <c r="AH42" i="6" s="1"/>
  <c r="AQ41" i="6"/>
  <c r="AW41" i="6" s="1"/>
  <c r="AN41" i="6"/>
  <c r="AV41" i="6" s="1"/>
  <c r="U41" i="6"/>
  <c r="R41" i="6"/>
  <c r="AQ40" i="6"/>
  <c r="AW40" i="6" s="1"/>
  <c r="AN40" i="6"/>
  <c r="AV40" i="6" s="1"/>
  <c r="U40" i="6"/>
  <c r="R40" i="6"/>
  <c r="T40" i="6" s="1"/>
  <c r="AH40" i="6" s="1"/>
  <c r="AQ39" i="6"/>
  <c r="AW39" i="6" s="1"/>
  <c r="AN39" i="6"/>
  <c r="AV39" i="6" s="1"/>
  <c r="U39" i="6"/>
  <c r="R39" i="6"/>
  <c r="T39" i="6" s="1"/>
  <c r="AQ38" i="6"/>
  <c r="AW38" i="6" s="1"/>
  <c r="AN38" i="6"/>
  <c r="AV38" i="6" s="1"/>
  <c r="U38" i="6"/>
  <c r="R38" i="6"/>
  <c r="T38" i="6" s="1"/>
  <c r="AH38" i="6" s="1"/>
  <c r="AQ37" i="6"/>
  <c r="AW37" i="6" s="1"/>
  <c r="AN37" i="6"/>
  <c r="AV37" i="6" s="1"/>
  <c r="U37" i="6"/>
  <c r="R37" i="6"/>
  <c r="T37" i="6" s="1"/>
  <c r="AQ36" i="6"/>
  <c r="AW36" i="6" s="1"/>
  <c r="AN36" i="6"/>
  <c r="AV36" i="6" s="1"/>
  <c r="U36" i="6"/>
  <c r="R36" i="6"/>
  <c r="S36" i="6" s="1"/>
  <c r="AU36" i="6" s="1"/>
  <c r="AQ35" i="6"/>
  <c r="AW35" i="6" s="1"/>
  <c r="AN35" i="6"/>
  <c r="AV35" i="6" s="1"/>
  <c r="U35" i="6"/>
  <c r="R35" i="6"/>
  <c r="T35" i="6" s="1"/>
  <c r="AQ34" i="6"/>
  <c r="AW34" i="6" s="1"/>
  <c r="AN34" i="6"/>
  <c r="AV34" i="6" s="1"/>
  <c r="U34" i="6"/>
  <c r="R34" i="6"/>
  <c r="T34" i="6" s="1"/>
  <c r="AH34" i="6" s="1"/>
  <c r="AQ33" i="6"/>
  <c r="AW33" i="6" s="1"/>
  <c r="AN33" i="6"/>
  <c r="AV33" i="6" s="1"/>
  <c r="U33" i="6"/>
  <c r="R33" i="6"/>
  <c r="AQ32" i="6"/>
  <c r="AW32" i="6" s="1"/>
  <c r="AN32" i="6"/>
  <c r="AV32" i="6" s="1"/>
  <c r="U32" i="6"/>
  <c r="R32" i="6"/>
  <c r="T32" i="6" s="1"/>
  <c r="AH32" i="6" s="1"/>
  <c r="AQ31" i="6"/>
  <c r="AW31" i="6" s="1"/>
  <c r="AN31" i="6"/>
  <c r="AV31" i="6" s="1"/>
  <c r="U31" i="6"/>
  <c r="R31" i="6"/>
  <c r="S31" i="6" s="1"/>
  <c r="AU31" i="6" s="1"/>
  <c r="AQ30" i="6"/>
  <c r="AW30" i="6" s="1"/>
  <c r="AN30" i="6"/>
  <c r="AV30" i="6" s="1"/>
  <c r="U30" i="6"/>
  <c r="R30" i="6"/>
  <c r="T30" i="6" s="1"/>
  <c r="AH30" i="6" s="1"/>
  <c r="AQ29" i="6"/>
  <c r="AW29" i="6" s="1"/>
  <c r="AN29" i="6"/>
  <c r="AV29" i="6" s="1"/>
  <c r="U29" i="6"/>
  <c r="R29" i="6"/>
  <c r="T29" i="6" s="1"/>
  <c r="AQ28" i="6"/>
  <c r="AW28" i="6" s="1"/>
  <c r="AN28" i="6"/>
  <c r="AV28" i="6" s="1"/>
  <c r="U28" i="6"/>
  <c r="R28" i="6"/>
  <c r="S28" i="6" s="1"/>
  <c r="AU28" i="6" s="1"/>
  <c r="AQ27" i="6"/>
  <c r="AW27" i="6" s="1"/>
  <c r="AN27" i="6"/>
  <c r="AV27" i="6" s="1"/>
  <c r="U27" i="6"/>
  <c r="R27" i="6"/>
  <c r="S27" i="6" s="1"/>
  <c r="AU27" i="6" s="1"/>
  <c r="AQ26" i="6"/>
  <c r="AW26" i="6" s="1"/>
  <c r="AN26" i="6"/>
  <c r="AV26" i="6" s="1"/>
  <c r="U26" i="6"/>
  <c r="R26" i="6"/>
  <c r="T26" i="6" s="1"/>
  <c r="AH26" i="6" s="1"/>
  <c r="AQ25" i="6"/>
  <c r="AW25" i="6" s="1"/>
  <c r="AN25" i="6"/>
  <c r="AV25" i="6" s="1"/>
  <c r="U25" i="6"/>
  <c r="R25" i="6"/>
  <c r="AQ24" i="6"/>
  <c r="AW24" i="6" s="1"/>
  <c r="AN24" i="6"/>
  <c r="AV24" i="6" s="1"/>
  <c r="U24" i="6"/>
  <c r="R24" i="6"/>
  <c r="T24" i="6" s="1"/>
  <c r="AH24" i="6" s="1"/>
  <c r="AQ23" i="6"/>
  <c r="AW23" i="6" s="1"/>
  <c r="AN23" i="6"/>
  <c r="AV23" i="6" s="1"/>
  <c r="U23" i="6"/>
  <c r="T23" i="6"/>
  <c r="S23" i="6"/>
  <c r="AU23" i="6" s="1"/>
  <c r="AQ22" i="6"/>
  <c r="AW22" i="6" s="1"/>
  <c r="AN22" i="6"/>
  <c r="AV22" i="6" s="1"/>
  <c r="U22" i="6"/>
  <c r="R22" i="6"/>
  <c r="T22" i="6" s="1"/>
  <c r="AQ21" i="6"/>
  <c r="AW21" i="6" s="1"/>
  <c r="AN21" i="6"/>
  <c r="AV21" i="6" s="1"/>
  <c r="U21" i="6"/>
  <c r="R21" i="6"/>
  <c r="S21" i="6" s="1"/>
  <c r="AU21" i="6" s="1"/>
  <c r="AQ20" i="6"/>
  <c r="AW20" i="6" s="1"/>
  <c r="AN20" i="6"/>
  <c r="AV20" i="6" s="1"/>
  <c r="U20" i="6"/>
  <c r="R20" i="6"/>
  <c r="T20" i="6" s="1"/>
  <c r="AH20" i="6" s="1"/>
  <c r="AQ19" i="6"/>
  <c r="AW19" i="6" s="1"/>
  <c r="AN19" i="6"/>
  <c r="AV19" i="6" s="1"/>
  <c r="U19" i="6"/>
  <c r="T19" i="6"/>
  <c r="S19" i="6"/>
  <c r="AU19" i="6" s="1"/>
  <c r="AQ18" i="6"/>
  <c r="AW18" i="6" s="1"/>
  <c r="AN18" i="6"/>
  <c r="AV18" i="6" s="1"/>
  <c r="U18" i="6"/>
  <c r="T18" i="6"/>
  <c r="S18" i="6"/>
  <c r="AU18" i="6" s="1"/>
  <c r="AQ17" i="6"/>
  <c r="AW17" i="6" s="1"/>
  <c r="AN17" i="6"/>
  <c r="AV17" i="6" s="1"/>
  <c r="U17" i="6"/>
  <c r="R17" i="6"/>
  <c r="T17" i="6" s="1"/>
  <c r="AQ16" i="6"/>
  <c r="AW16" i="6" s="1"/>
  <c r="AN16" i="6"/>
  <c r="AV16" i="6" s="1"/>
  <c r="U16" i="6"/>
  <c r="R16" i="6"/>
  <c r="S16" i="6" s="1"/>
  <c r="AU16" i="6" s="1"/>
  <c r="AQ15" i="6"/>
  <c r="AW15" i="6" s="1"/>
  <c r="AN15" i="6"/>
  <c r="AV15" i="6" s="1"/>
  <c r="U15" i="6"/>
  <c r="R15" i="6"/>
  <c r="T15" i="6" s="1"/>
  <c r="AQ14" i="6"/>
  <c r="AW14" i="6" s="1"/>
  <c r="AN14" i="6"/>
  <c r="AV14" i="6" s="1"/>
  <c r="U14" i="6"/>
  <c r="R14" i="6"/>
  <c r="AQ13" i="6"/>
  <c r="AW13" i="6" s="1"/>
  <c r="AN13" i="6"/>
  <c r="AV13" i="6" s="1"/>
  <c r="U13" i="6"/>
  <c r="R13" i="6"/>
  <c r="T13" i="6" s="1"/>
  <c r="AQ12" i="6"/>
  <c r="AW12" i="6" s="1"/>
  <c r="AN12" i="6"/>
  <c r="AV12" i="6" s="1"/>
  <c r="U12" i="6"/>
  <c r="R12" i="6"/>
  <c r="S12" i="6" s="1"/>
  <c r="AU12" i="6" s="1"/>
  <c r="AQ11" i="6"/>
  <c r="AW11" i="6" s="1"/>
  <c r="AN11" i="6"/>
  <c r="AV11" i="6" s="1"/>
  <c r="U11" i="6"/>
  <c r="R11" i="6"/>
  <c r="S11" i="6" s="1"/>
  <c r="AU11" i="6" s="1"/>
  <c r="AQ10" i="6"/>
  <c r="AW10" i="6" s="1"/>
  <c r="AN10" i="6"/>
  <c r="AV10" i="6" s="1"/>
  <c r="U10" i="6"/>
  <c r="R10" i="6"/>
  <c r="S10" i="6" s="1"/>
  <c r="AU10" i="6" s="1"/>
  <c r="AQ9" i="6"/>
  <c r="AW9" i="6" s="1"/>
  <c r="AN9" i="6"/>
  <c r="AV9" i="6" s="1"/>
  <c r="U9" i="6"/>
  <c r="R9" i="6"/>
  <c r="S9" i="6" s="1"/>
  <c r="AU9" i="6" s="1"/>
  <c r="AQ8" i="6"/>
  <c r="AW8" i="6" s="1"/>
  <c r="AN8" i="6"/>
  <c r="AV8" i="6" s="1"/>
  <c r="U8" i="6"/>
  <c r="T8" i="6"/>
  <c r="S8" i="6"/>
  <c r="AU8" i="6" s="1"/>
  <c r="AQ7" i="6"/>
  <c r="AW7" i="6" s="1"/>
  <c r="AN7" i="6"/>
  <c r="AV7" i="6" s="1"/>
  <c r="U7" i="6"/>
  <c r="R7" i="6"/>
  <c r="S7" i="6" s="1"/>
  <c r="AU7" i="6" s="1"/>
  <c r="AQ6" i="6"/>
  <c r="AW6" i="6" s="1"/>
  <c r="AN6" i="6"/>
  <c r="AV6" i="6" s="1"/>
  <c r="U6" i="6"/>
  <c r="R6" i="6"/>
  <c r="T6" i="6" s="1"/>
  <c r="AQ5" i="6"/>
  <c r="AW5" i="6" s="1"/>
  <c r="AN5" i="6"/>
  <c r="AV5" i="6" s="1"/>
  <c r="U5" i="6"/>
  <c r="R5" i="6"/>
  <c r="AQ4" i="6"/>
  <c r="AN4" i="6"/>
  <c r="U4" i="6"/>
  <c r="R4" i="6"/>
  <c r="AQ102" i="2"/>
  <c r="AW102" i="2" s="1"/>
  <c r="AN102" i="2"/>
  <c r="AV102" i="2" s="1"/>
  <c r="U102" i="2"/>
  <c r="T102" i="2"/>
  <c r="S102" i="2"/>
  <c r="AU102" i="2" s="1"/>
  <c r="AQ101" i="2"/>
  <c r="AW101" i="2" s="1"/>
  <c r="AN101" i="2"/>
  <c r="AV101" i="2" s="1"/>
  <c r="U101" i="2"/>
  <c r="T101" i="2"/>
  <c r="S101" i="2"/>
  <c r="AU101" i="2" s="1"/>
  <c r="AQ100" i="2"/>
  <c r="AW100" i="2" s="1"/>
  <c r="AN100" i="2"/>
  <c r="AV100" i="2" s="1"/>
  <c r="T100" i="2"/>
  <c r="AH100" i="2" s="1"/>
  <c r="S100" i="2"/>
  <c r="AU100" i="2" s="1"/>
  <c r="AQ99" i="2"/>
  <c r="AW99" i="2" s="1"/>
  <c r="AN99" i="2"/>
  <c r="AV99" i="2" s="1"/>
  <c r="U99" i="2"/>
  <c r="T99" i="2"/>
  <c r="S99" i="2"/>
  <c r="AU99" i="2" s="1"/>
  <c r="AQ98" i="2"/>
  <c r="AW98" i="2" s="1"/>
  <c r="AN98" i="2"/>
  <c r="AV98" i="2" s="1"/>
  <c r="U98" i="2"/>
  <c r="T98" i="2"/>
  <c r="S98" i="2"/>
  <c r="AU98" i="2" s="1"/>
  <c r="AQ97" i="2"/>
  <c r="AW97" i="2" s="1"/>
  <c r="AN97" i="2"/>
  <c r="AV97" i="2" s="1"/>
  <c r="U97" i="2"/>
  <c r="R97" i="2"/>
  <c r="T97" i="2" s="1"/>
  <c r="AH97" i="2" s="1"/>
  <c r="AQ96" i="2"/>
  <c r="AW96" i="2" s="1"/>
  <c r="AN96" i="2"/>
  <c r="AV96" i="2" s="1"/>
  <c r="U96" i="2"/>
  <c r="T96" i="2"/>
  <c r="S96" i="2"/>
  <c r="AU96" i="2" s="1"/>
  <c r="AQ95" i="2"/>
  <c r="AW95" i="2" s="1"/>
  <c r="AN95" i="2"/>
  <c r="AV95" i="2" s="1"/>
  <c r="R95" i="2"/>
  <c r="T95" i="2" s="1"/>
  <c r="AH95" i="2" s="1"/>
  <c r="AQ94" i="2"/>
  <c r="AW94" i="2" s="1"/>
  <c r="AN94" i="2"/>
  <c r="AV94" i="2" s="1"/>
  <c r="U94" i="2"/>
  <c r="T94" i="2"/>
  <c r="S94" i="2"/>
  <c r="AU94" i="2" s="1"/>
  <c r="AQ93" i="2"/>
  <c r="AW93" i="2" s="1"/>
  <c r="AN93" i="2"/>
  <c r="AV93" i="2" s="1"/>
  <c r="R93" i="2"/>
  <c r="T93" i="2" s="1"/>
  <c r="AH93" i="2" s="1"/>
  <c r="AQ92" i="2"/>
  <c r="AW92" i="2" s="1"/>
  <c r="AN92" i="2"/>
  <c r="AV92" i="2" s="1"/>
  <c r="U92" i="2"/>
  <c r="R92" i="2"/>
  <c r="T92" i="2" s="1"/>
  <c r="AQ91" i="2"/>
  <c r="AW91" i="2" s="1"/>
  <c r="AN91" i="2"/>
  <c r="AV91" i="2" s="1"/>
  <c r="U91" i="2"/>
  <c r="T91" i="2"/>
  <c r="S91" i="2"/>
  <c r="AU91" i="2" s="1"/>
  <c r="AQ90" i="2"/>
  <c r="AW90" i="2" s="1"/>
  <c r="AN90" i="2"/>
  <c r="AV90" i="2" s="1"/>
  <c r="U90" i="2"/>
  <c r="T90" i="2"/>
  <c r="S90" i="2"/>
  <c r="AU90" i="2" s="1"/>
  <c r="AQ89" i="2"/>
  <c r="AW89" i="2" s="1"/>
  <c r="AN89" i="2"/>
  <c r="AV89" i="2" s="1"/>
  <c r="T89" i="2"/>
  <c r="AH89" i="2" s="1"/>
  <c r="S89" i="2"/>
  <c r="AU89" i="2" s="1"/>
  <c r="AQ88" i="2"/>
  <c r="AW88" i="2" s="1"/>
  <c r="AN88" i="2"/>
  <c r="AV88" i="2" s="1"/>
  <c r="U88" i="2"/>
  <c r="R88" i="2"/>
  <c r="T88" i="2" s="1"/>
  <c r="AQ87" i="2"/>
  <c r="AW87" i="2" s="1"/>
  <c r="AN87" i="2"/>
  <c r="AV87" i="2" s="1"/>
  <c r="T87" i="2"/>
  <c r="AH87" i="2" s="1"/>
  <c r="S87" i="2"/>
  <c r="AU87" i="2" s="1"/>
  <c r="AQ86" i="2"/>
  <c r="AW86" i="2" s="1"/>
  <c r="AN86" i="2"/>
  <c r="AV86" i="2" s="1"/>
  <c r="U86" i="2"/>
  <c r="T86" i="2"/>
  <c r="S86" i="2"/>
  <c r="AU86" i="2" s="1"/>
  <c r="AQ85" i="2"/>
  <c r="AW85" i="2" s="1"/>
  <c r="AN85" i="2"/>
  <c r="AV85" i="2" s="1"/>
  <c r="U85" i="2"/>
  <c r="T85" i="2"/>
  <c r="S85" i="2"/>
  <c r="AU85" i="2" s="1"/>
  <c r="AQ84" i="2"/>
  <c r="AW84" i="2" s="1"/>
  <c r="AN84" i="2"/>
  <c r="AV84" i="2" s="1"/>
  <c r="T84" i="2"/>
  <c r="AH84" i="2" s="1"/>
  <c r="S84" i="2"/>
  <c r="AU84" i="2" s="1"/>
  <c r="AQ83" i="2"/>
  <c r="AW83" i="2" s="1"/>
  <c r="AN83" i="2"/>
  <c r="AV83" i="2" s="1"/>
  <c r="U83" i="2"/>
  <c r="T83" i="2"/>
  <c r="S83" i="2"/>
  <c r="AU83" i="2" s="1"/>
  <c r="AQ82" i="2"/>
  <c r="AW82" i="2" s="1"/>
  <c r="AN82" i="2"/>
  <c r="AV82" i="2" s="1"/>
  <c r="U82" i="2"/>
  <c r="T82" i="2"/>
  <c r="S82" i="2"/>
  <c r="AU82" i="2" s="1"/>
  <c r="AQ81" i="2"/>
  <c r="AW81" i="2" s="1"/>
  <c r="AN81" i="2"/>
  <c r="AV81" i="2" s="1"/>
  <c r="U81" i="2"/>
  <c r="R81" i="2"/>
  <c r="S81" i="2" s="1"/>
  <c r="AU81" i="2" s="1"/>
  <c r="AQ80" i="2"/>
  <c r="AW80" i="2" s="1"/>
  <c r="AN80" i="2"/>
  <c r="AV80" i="2" s="1"/>
  <c r="U80" i="2"/>
  <c r="R80" i="2"/>
  <c r="T80" i="2" s="1"/>
  <c r="AQ79" i="2"/>
  <c r="AW79" i="2" s="1"/>
  <c r="AN79" i="2"/>
  <c r="AV79" i="2" s="1"/>
  <c r="R79" i="2"/>
  <c r="T79" i="2" s="1"/>
  <c r="AH79" i="2" s="1"/>
  <c r="AQ78" i="2"/>
  <c r="AW78" i="2" s="1"/>
  <c r="AN78" i="2"/>
  <c r="AV78" i="2" s="1"/>
  <c r="T78" i="2"/>
  <c r="AH78" i="2" s="1"/>
  <c r="S78" i="2"/>
  <c r="AU78" i="2" s="1"/>
  <c r="AQ77" i="2"/>
  <c r="AW77" i="2" s="1"/>
  <c r="AN77" i="2"/>
  <c r="AV77" i="2" s="1"/>
  <c r="U77" i="2"/>
  <c r="T77" i="2"/>
  <c r="S77" i="2"/>
  <c r="AU77" i="2" s="1"/>
  <c r="AQ76" i="2"/>
  <c r="AW76" i="2" s="1"/>
  <c r="AN76" i="2"/>
  <c r="AV76" i="2" s="1"/>
  <c r="U76" i="2"/>
  <c r="R76" i="2"/>
  <c r="T76" i="2" s="1"/>
  <c r="AQ75" i="2"/>
  <c r="AW75" i="2" s="1"/>
  <c r="AN75" i="2"/>
  <c r="AV75" i="2" s="1"/>
  <c r="R75" i="2"/>
  <c r="S75" i="2" s="1"/>
  <c r="AU75" i="2" s="1"/>
  <c r="AQ74" i="2"/>
  <c r="AW74" i="2" s="1"/>
  <c r="AN74" i="2"/>
  <c r="AV74" i="2" s="1"/>
  <c r="U74" i="2"/>
  <c r="R74" i="2"/>
  <c r="AQ73" i="2"/>
  <c r="AW73" i="2" s="1"/>
  <c r="AN73" i="2"/>
  <c r="AV73" i="2" s="1"/>
  <c r="U73" i="2"/>
  <c r="T73" i="2"/>
  <c r="S73" i="2"/>
  <c r="AU73" i="2" s="1"/>
  <c r="AQ72" i="2"/>
  <c r="AW72" i="2" s="1"/>
  <c r="AN72" i="2"/>
  <c r="AV72" i="2" s="1"/>
  <c r="R72" i="2"/>
  <c r="S72" i="2" s="1"/>
  <c r="AU72" i="2" s="1"/>
  <c r="AQ71" i="2"/>
  <c r="AW71" i="2" s="1"/>
  <c r="AN71" i="2"/>
  <c r="AV71" i="2" s="1"/>
  <c r="R71" i="2"/>
  <c r="T71" i="2" s="1"/>
  <c r="AH71" i="2" s="1"/>
  <c r="AQ70" i="2"/>
  <c r="AW70" i="2" s="1"/>
  <c r="AN70" i="2"/>
  <c r="AV70" i="2" s="1"/>
  <c r="U70" i="2"/>
  <c r="T70" i="2"/>
  <c r="S70" i="2"/>
  <c r="AU70" i="2" s="1"/>
  <c r="AQ69" i="2"/>
  <c r="AW69" i="2" s="1"/>
  <c r="AN69" i="2"/>
  <c r="AV69" i="2" s="1"/>
  <c r="U69" i="2"/>
  <c r="R69" i="2"/>
  <c r="T69" i="2" s="1"/>
  <c r="AQ68" i="2"/>
  <c r="AW68" i="2" s="1"/>
  <c r="AN68" i="2"/>
  <c r="AV68" i="2" s="1"/>
  <c r="U68" i="2"/>
  <c r="T68" i="2"/>
  <c r="S68" i="2"/>
  <c r="AU68" i="2" s="1"/>
  <c r="AQ67" i="2"/>
  <c r="AW67" i="2" s="1"/>
  <c r="AN67" i="2"/>
  <c r="AV67" i="2" s="1"/>
  <c r="U67" i="2"/>
  <c r="R67" i="2"/>
  <c r="T67" i="2" s="1"/>
  <c r="AQ66" i="2"/>
  <c r="AW66" i="2" s="1"/>
  <c r="AN66" i="2"/>
  <c r="AV66" i="2" s="1"/>
  <c r="U66" i="2"/>
  <c r="T66" i="2"/>
  <c r="S66" i="2"/>
  <c r="AU66" i="2" s="1"/>
  <c r="AQ65" i="2"/>
  <c r="AW65" i="2" s="1"/>
  <c r="AN65" i="2"/>
  <c r="AV65" i="2" s="1"/>
  <c r="U65" i="2"/>
  <c r="R65" i="2"/>
  <c r="S65" i="2" s="1"/>
  <c r="AU65" i="2" s="1"/>
  <c r="AQ64" i="2"/>
  <c r="AW64" i="2" s="1"/>
  <c r="AN64" i="2"/>
  <c r="AV64" i="2" s="1"/>
  <c r="U64" i="2"/>
  <c r="T64" i="2"/>
  <c r="S64" i="2"/>
  <c r="AU64" i="2" s="1"/>
  <c r="AQ63" i="2"/>
  <c r="AW63" i="2" s="1"/>
  <c r="AN63" i="2"/>
  <c r="AV63" i="2" s="1"/>
  <c r="U63" i="2"/>
  <c r="R63" i="2"/>
  <c r="T63" i="2" s="1"/>
  <c r="AQ62" i="2"/>
  <c r="AW62" i="2" s="1"/>
  <c r="AN62" i="2"/>
  <c r="AV62" i="2" s="1"/>
  <c r="U62" i="2"/>
  <c r="T62" i="2"/>
  <c r="S62" i="2"/>
  <c r="AU62" i="2" s="1"/>
  <c r="AQ61" i="2"/>
  <c r="AW61" i="2" s="1"/>
  <c r="AN61" i="2"/>
  <c r="AV61" i="2" s="1"/>
  <c r="U61" i="2"/>
  <c r="R61" i="2"/>
  <c r="S61" i="2" s="1"/>
  <c r="AU61" i="2" s="1"/>
  <c r="AQ60" i="2"/>
  <c r="AW60" i="2" s="1"/>
  <c r="AN60" i="2"/>
  <c r="AV60" i="2" s="1"/>
  <c r="R60" i="2"/>
  <c r="T60" i="2" s="1"/>
  <c r="AH60" i="2" s="1"/>
  <c r="AQ59" i="2"/>
  <c r="AW59" i="2" s="1"/>
  <c r="AN59" i="2"/>
  <c r="AV59" i="2" s="1"/>
  <c r="U59" i="2"/>
  <c r="T59" i="2"/>
  <c r="S59" i="2"/>
  <c r="AU59" i="2" s="1"/>
  <c r="AQ58" i="2"/>
  <c r="AW58" i="2" s="1"/>
  <c r="AN58" i="2"/>
  <c r="AV58" i="2" s="1"/>
  <c r="U58" i="2"/>
  <c r="T58" i="2"/>
  <c r="S58" i="2"/>
  <c r="AU58" i="2" s="1"/>
  <c r="AQ57" i="2"/>
  <c r="AW57" i="2" s="1"/>
  <c r="AN57" i="2"/>
  <c r="AV57" i="2" s="1"/>
  <c r="R57" i="2"/>
  <c r="S57" i="2" s="1"/>
  <c r="AU57" i="2" s="1"/>
  <c r="AQ56" i="2"/>
  <c r="AW56" i="2" s="1"/>
  <c r="AN56" i="2"/>
  <c r="AV56" i="2" s="1"/>
  <c r="U56" i="2"/>
  <c r="R56" i="2"/>
  <c r="AQ55" i="2"/>
  <c r="AW55" i="2" s="1"/>
  <c r="AN55" i="2"/>
  <c r="AV55" i="2" s="1"/>
  <c r="U55" i="2"/>
  <c r="T55" i="2"/>
  <c r="S55" i="2"/>
  <c r="AU55" i="2" s="1"/>
  <c r="AQ54" i="2"/>
  <c r="AW54" i="2" s="1"/>
  <c r="AN54" i="2"/>
  <c r="AV54" i="2" s="1"/>
  <c r="R54" i="2"/>
  <c r="T54" i="2" s="1"/>
  <c r="AH54" i="2" s="1"/>
  <c r="AQ53" i="2"/>
  <c r="AW53" i="2" s="1"/>
  <c r="AN53" i="2"/>
  <c r="AV53" i="2" s="1"/>
  <c r="R53" i="2"/>
  <c r="T53" i="2" s="1"/>
  <c r="AH53" i="2" s="1"/>
  <c r="AQ52" i="2"/>
  <c r="AW52" i="2" s="1"/>
  <c r="AN52" i="2"/>
  <c r="AV52" i="2" s="1"/>
  <c r="U52" i="2"/>
  <c r="R52" i="2"/>
  <c r="T52" i="2" s="1"/>
  <c r="AQ51" i="2"/>
  <c r="AW51" i="2" s="1"/>
  <c r="AN51" i="2"/>
  <c r="AV51" i="2" s="1"/>
  <c r="U51" i="2"/>
  <c r="R51" i="2"/>
  <c r="T51" i="2" s="1"/>
  <c r="AQ50" i="2"/>
  <c r="AW50" i="2" s="1"/>
  <c r="AN50" i="2"/>
  <c r="AV50" i="2" s="1"/>
  <c r="U50" i="2"/>
  <c r="T50" i="2"/>
  <c r="S50" i="2"/>
  <c r="AU50" i="2" s="1"/>
  <c r="AQ49" i="2"/>
  <c r="AW49" i="2" s="1"/>
  <c r="AN49" i="2"/>
  <c r="AV49" i="2" s="1"/>
  <c r="U49" i="2"/>
  <c r="T49" i="2"/>
  <c r="S49" i="2"/>
  <c r="AU49" i="2" s="1"/>
  <c r="AQ48" i="2"/>
  <c r="AW48" i="2" s="1"/>
  <c r="AN48" i="2"/>
  <c r="AV48" i="2" s="1"/>
  <c r="U48" i="2"/>
  <c r="R48" i="2"/>
  <c r="T48" i="2" s="1"/>
  <c r="AQ47" i="2"/>
  <c r="AW47" i="2" s="1"/>
  <c r="AN47" i="2"/>
  <c r="AV47" i="2" s="1"/>
  <c r="U47" i="2"/>
  <c r="R47" i="2"/>
  <c r="T47" i="2" s="1"/>
  <c r="AQ46" i="2"/>
  <c r="AW46" i="2" s="1"/>
  <c r="AN46" i="2"/>
  <c r="AV46" i="2" s="1"/>
  <c r="U46" i="2"/>
  <c r="T46" i="2"/>
  <c r="S46" i="2"/>
  <c r="AU46" i="2" s="1"/>
  <c r="AQ45" i="2"/>
  <c r="AW45" i="2" s="1"/>
  <c r="AN45" i="2"/>
  <c r="AV45" i="2" s="1"/>
  <c r="T45" i="2"/>
  <c r="AH45" i="2" s="1"/>
  <c r="S45" i="2"/>
  <c r="AU45" i="2" s="1"/>
  <c r="AQ44" i="2"/>
  <c r="AW44" i="2" s="1"/>
  <c r="AN44" i="2"/>
  <c r="AV44" i="2" s="1"/>
  <c r="T44" i="2"/>
  <c r="AH44" i="2" s="1"/>
  <c r="S44" i="2"/>
  <c r="AU44" i="2" s="1"/>
  <c r="AQ43" i="2"/>
  <c r="AW43" i="2" s="1"/>
  <c r="AN43" i="2"/>
  <c r="AV43" i="2" s="1"/>
  <c r="U43" i="2"/>
  <c r="T43" i="2"/>
  <c r="S43" i="2"/>
  <c r="AU43" i="2" s="1"/>
  <c r="AQ42" i="2"/>
  <c r="AW42" i="2" s="1"/>
  <c r="AN42" i="2"/>
  <c r="AV42" i="2" s="1"/>
  <c r="U42" i="2"/>
  <c r="R42" i="2"/>
  <c r="S42" i="2" s="1"/>
  <c r="AU42" i="2" s="1"/>
  <c r="AQ41" i="2"/>
  <c r="AW41" i="2" s="1"/>
  <c r="AN41" i="2"/>
  <c r="AV41" i="2" s="1"/>
  <c r="U41" i="2"/>
  <c r="T41" i="2"/>
  <c r="S41" i="2"/>
  <c r="AU41" i="2" s="1"/>
  <c r="AQ40" i="2"/>
  <c r="AW40" i="2" s="1"/>
  <c r="AN40" i="2"/>
  <c r="AV40" i="2" s="1"/>
  <c r="U40" i="2"/>
  <c r="R40" i="2"/>
  <c r="AQ39" i="2"/>
  <c r="AW39" i="2" s="1"/>
  <c r="AN39" i="2"/>
  <c r="AV39" i="2" s="1"/>
  <c r="U39" i="2"/>
  <c r="R39" i="2"/>
  <c r="T39" i="2" s="1"/>
  <c r="AQ38" i="2"/>
  <c r="AW38" i="2" s="1"/>
  <c r="AN38" i="2"/>
  <c r="AV38" i="2" s="1"/>
  <c r="U38" i="2"/>
  <c r="R38" i="2"/>
  <c r="T38" i="2" s="1"/>
  <c r="AQ37" i="2"/>
  <c r="AW37" i="2" s="1"/>
  <c r="AN37" i="2"/>
  <c r="AV37" i="2" s="1"/>
  <c r="U37" i="2"/>
  <c r="T37" i="2"/>
  <c r="S37" i="2"/>
  <c r="AU37" i="2" s="1"/>
  <c r="AQ36" i="2"/>
  <c r="AW36" i="2" s="1"/>
  <c r="AN36" i="2"/>
  <c r="AV36" i="2" s="1"/>
  <c r="U36" i="2"/>
  <c r="R36" i="2"/>
  <c r="T36" i="2" s="1"/>
  <c r="AQ35" i="2"/>
  <c r="AW35" i="2" s="1"/>
  <c r="AN35" i="2"/>
  <c r="AV35" i="2" s="1"/>
  <c r="U35" i="2"/>
  <c r="R35" i="2"/>
  <c r="S35" i="2" s="1"/>
  <c r="AU35" i="2" s="1"/>
  <c r="AQ34" i="2"/>
  <c r="AW34" i="2" s="1"/>
  <c r="AN34" i="2"/>
  <c r="AV34" i="2" s="1"/>
  <c r="T34" i="2"/>
  <c r="AH34" i="2" s="1"/>
  <c r="S34" i="2"/>
  <c r="AU34" i="2" s="1"/>
  <c r="AQ33" i="2"/>
  <c r="AN33" i="2"/>
  <c r="AV33" i="2" s="1"/>
  <c r="U33" i="2"/>
  <c r="T33" i="2"/>
  <c r="S33" i="2"/>
  <c r="AU33" i="2" s="1"/>
  <c r="AQ32" i="2"/>
  <c r="AW32" i="2" s="1"/>
  <c r="AN32" i="2"/>
  <c r="AV32" i="2" s="1"/>
  <c r="U32" i="2"/>
  <c r="R32" i="2"/>
  <c r="S32" i="2" s="1"/>
  <c r="AU32" i="2" s="1"/>
  <c r="AQ31" i="2"/>
  <c r="AW31" i="2" s="1"/>
  <c r="AN31" i="2"/>
  <c r="AV31" i="2" s="1"/>
  <c r="U31" i="2"/>
  <c r="R31" i="2"/>
  <c r="T31" i="2" s="1"/>
  <c r="AQ30" i="2"/>
  <c r="AW30" i="2" s="1"/>
  <c r="AN30" i="2"/>
  <c r="AV30" i="2" s="1"/>
  <c r="T30" i="2"/>
  <c r="AH30" i="2" s="1"/>
  <c r="S30" i="2"/>
  <c r="AU30" i="2" s="1"/>
  <c r="AQ29" i="2"/>
  <c r="AW29" i="2" s="1"/>
  <c r="AN29" i="2"/>
  <c r="AV29" i="2" s="1"/>
  <c r="U29" i="2"/>
  <c r="T29" i="2"/>
  <c r="S29" i="2"/>
  <c r="AU29" i="2" s="1"/>
  <c r="AQ28" i="2"/>
  <c r="AW28" i="2" s="1"/>
  <c r="AN28" i="2"/>
  <c r="AV28" i="2" s="1"/>
  <c r="U28" i="2"/>
  <c r="T28" i="2"/>
  <c r="S28" i="2"/>
  <c r="AU28" i="2" s="1"/>
  <c r="AQ27" i="2"/>
  <c r="AW27" i="2" s="1"/>
  <c r="AN27" i="2"/>
  <c r="AV27" i="2" s="1"/>
  <c r="U27" i="2"/>
  <c r="R27" i="2"/>
  <c r="T27" i="2" s="1"/>
  <c r="AQ26" i="2"/>
  <c r="AW26" i="2" s="1"/>
  <c r="AN26" i="2"/>
  <c r="AV26" i="2" s="1"/>
  <c r="U26" i="2"/>
  <c r="R26" i="2"/>
  <c r="S26" i="2" s="1"/>
  <c r="AU26" i="2" s="1"/>
  <c r="AQ25" i="2"/>
  <c r="AW25" i="2" s="1"/>
  <c r="AN25" i="2"/>
  <c r="AV25" i="2" s="1"/>
  <c r="U25" i="2"/>
  <c r="R25" i="2"/>
  <c r="S25" i="2" s="1"/>
  <c r="AU25" i="2" s="1"/>
  <c r="AQ24" i="2"/>
  <c r="AW24" i="2" s="1"/>
  <c r="AN24" i="2"/>
  <c r="AV24" i="2" s="1"/>
  <c r="U24" i="2"/>
  <c r="T24" i="2"/>
  <c r="S24" i="2"/>
  <c r="AU24" i="2" s="1"/>
  <c r="AQ23" i="2"/>
  <c r="AW23" i="2" s="1"/>
  <c r="AN23" i="2"/>
  <c r="AV23" i="2" s="1"/>
  <c r="R23" i="2"/>
  <c r="T23" i="2" s="1"/>
  <c r="AH23" i="2" s="1"/>
  <c r="AQ22" i="2"/>
  <c r="AW22" i="2" s="1"/>
  <c r="AN22" i="2"/>
  <c r="AV22" i="2" s="1"/>
  <c r="U22" i="2"/>
  <c r="R22" i="2"/>
  <c r="T22" i="2" s="1"/>
  <c r="AQ21" i="2"/>
  <c r="AW21" i="2" s="1"/>
  <c r="AN21" i="2"/>
  <c r="AV21" i="2" s="1"/>
  <c r="U21" i="2"/>
  <c r="R21" i="2"/>
  <c r="T21" i="2" s="1"/>
  <c r="AQ20" i="2"/>
  <c r="AW20" i="2" s="1"/>
  <c r="AN20" i="2"/>
  <c r="AV20" i="2" s="1"/>
  <c r="T20" i="2"/>
  <c r="AH20" i="2" s="1"/>
  <c r="S20" i="2"/>
  <c r="AU20" i="2" s="1"/>
  <c r="AQ19" i="2"/>
  <c r="AW19" i="2" s="1"/>
  <c r="AN19" i="2"/>
  <c r="AV19" i="2" s="1"/>
  <c r="T19" i="2"/>
  <c r="AH19" i="2" s="1"/>
  <c r="S19" i="2"/>
  <c r="AU19" i="2" s="1"/>
  <c r="AQ18" i="2"/>
  <c r="AW18" i="2" s="1"/>
  <c r="AN18" i="2"/>
  <c r="AV18" i="2" s="1"/>
  <c r="R18" i="2"/>
  <c r="T18" i="2" s="1"/>
  <c r="AH18" i="2" s="1"/>
  <c r="AQ17" i="2"/>
  <c r="AW17" i="2" s="1"/>
  <c r="AN17" i="2"/>
  <c r="AV17" i="2" s="1"/>
  <c r="U17" i="2"/>
  <c r="R17" i="2"/>
  <c r="S17" i="2" s="1"/>
  <c r="AU17" i="2" s="1"/>
  <c r="AQ16" i="2"/>
  <c r="AW16" i="2" s="1"/>
  <c r="AN16" i="2"/>
  <c r="AV16" i="2" s="1"/>
  <c r="U16" i="2"/>
  <c r="R16" i="2"/>
  <c r="S16" i="2" s="1"/>
  <c r="AU16" i="2" s="1"/>
  <c r="AQ15" i="2"/>
  <c r="AW15" i="2" s="1"/>
  <c r="AN15" i="2"/>
  <c r="AV15" i="2" s="1"/>
  <c r="U15" i="2"/>
  <c r="T15" i="2"/>
  <c r="S15" i="2"/>
  <c r="AU15" i="2" s="1"/>
  <c r="AQ14" i="2"/>
  <c r="AW14" i="2" s="1"/>
  <c r="AN14" i="2"/>
  <c r="AV14" i="2" s="1"/>
  <c r="U14" i="2"/>
  <c r="R14" i="2"/>
  <c r="T14" i="2" s="1"/>
  <c r="AQ13" i="2"/>
  <c r="AW13" i="2" s="1"/>
  <c r="AN13" i="2"/>
  <c r="AV13" i="2" s="1"/>
  <c r="U13" i="2"/>
  <c r="T13" i="2"/>
  <c r="S13" i="2"/>
  <c r="AU13" i="2" s="1"/>
  <c r="AQ12" i="2"/>
  <c r="AW12" i="2" s="1"/>
  <c r="AN12" i="2"/>
  <c r="AV12" i="2" s="1"/>
  <c r="U12" i="2"/>
  <c r="R12" i="2"/>
  <c r="S12" i="2" s="1"/>
  <c r="AU12" i="2" s="1"/>
  <c r="AQ11" i="2"/>
  <c r="AW11" i="2" s="1"/>
  <c r="AN11" i="2"/>
  <c r="AV11" i="2" s="1"/>
  <c r="U11" i="2"/>
  <c r="R11" i="2"/>
  <c r="T11" i="2" s="1"/>
  <c r="AQ10" i="2"/>
  <c r="AW10" i="2" s="1"/>
  <c r="AN10" i="2"/>
  <c r="AV10" i="2" s="1"/>
  <c r="U10" i="2"/>
  <c r="R10" i="2"/>
  <c r="T10" i="2" s="1"/>
  <c r="AQ9" i="2"/>
  <c r="AW9" i="2" s="1"/>
  <c r="AN9" i="2"/>
  <c r="AV9" i="2" s="1"/>
  <c r="U9" i="2"/>
  <c r="R9" i="2"/>
  <c r="T9" i="2" s="1"/>
  <c r="AQ8" i="2"/>
  <c r="AW8" i="2" s="1"/>
  <c r="AN8" i="2"/>
  <c r="AV8" i="2" s="1"/>
  <c r="R8" i="2"/>
  <c r="T8" i="2" s="1"/>
  <c r="AH8" i="2" s="1"/>
  <c r="AQ7" i="2"/>
  <c r="AW7" i="2" s="1"/>
  <c r="AN7" i="2"/>
  <c r="AV7" i="2" s="1"/>
  <c r="R7" i="2"/>
  <c r="S7" i="2" s="1"/>
  <c r="AU7" i="2" s="1"/>
  <c r="AQ6" i="2"/>
  <c r="AW6" i="2" s="1"/>
  <c r="AN6" i="2"/>
  <c r="AV6" i="2" s="1"/>
  <c r="U6" i="2"/>
  <c r="T6" i="2"/>
  <c r="S6" i="2"/>
  <c r="AU6" i="2" s="1"/>
  <c r="AQ5" i="2"/>
  <c r="AN5" i="2"/>
  <c r="AV5" i="2" s="1"/>
  <c r="U5" i="2"/>
  <c r="T5" i="2"/>
  <c r="S5" i="2"/>
  <c r="AU5" i="2" s="1"/>
  <c r="AQ4" i="2"/>
  <c r="AN4" i="2"/>
  <c r="U4" i="2"/>
  <c r="R4" i="2"/>
  <c r="AQ100" i="1"/>
  <c r="AW100" i="1" s="1"/>
  <c r="AN100" i="1"/>
  <c r="AV100" i="1" s="1"/>
  <c r="U100" i="1"/>
  <c r="AH100" i="1" s="1"/>
  <c r="R100" i="1"/>
  <c r="S100" i="1" s="1"/>
  <c r="AU100" i="1" s="1"/>
  <c r="AQ99" i="1"/>
  <c r="AW99" i="1" s="1"/>
  <c r="AN99" i="1"/>
  <c r="AV99" i="1" s="1"/>
  <c r="U99" i="1"/>
  <c r="R99" i="1"/>
  <c r="AQ98" i="1"/>
  <c r="AW98" i="1" s="1"/>
  <c r="AN98" i="1"/>
  <c r="AV98" i="1" s="1"/>
  <c r="U98" i="1"/>
  <c r="R98" i="1"/>
  <c r="AQ97" i="1"/>
  <c r="AW97" i="1" s="1"/>
  <c r="AN97" i="1"/>
  <c r="AV97" i="1" s="1"/>
  <c r="U97" i="1"/>
  <c r="R97" i="1"/>
  <c r="T97" i="1" s="1"/>
  <c r="AQ96" i="1"/>
  <c r="AW96" i="1" s="1"/>
  <c r="AN96" i="1"/>
  <c r="AV96" i="1" s="1"/>
  <c r="U96" i="1"/>
  <c r="R96" i="1"/>
  <c r="T96" i="1" s="1"/>
  <c r="AQ95" i="1"/>
  <c r="AW95" i="1" s="1"/>
  <c r="AN95" i="1"/>
  <c r="AV95" i="1" s="1"/>
  <c r="U95" i="1"/>
  <c r="AH95" i="1" s="1"/>
  <c r="R95" i="1"/>
  <c r="S95" i="1" s="1"/>
  <c r="AU95" i="1" s="1"/>
  <c r="AQ94" i="1"/>
  <c r="AW94" i="1" s="1"/>
  <c r="AN94" i="1"/>
  <c r="AV94" i="1" s="1"/>
  <c r="U94" i="1"/>
  <c r="R94" i="1"/>
  <c r="AQ93" i="1"/>
  <c r="AW93" i="1" s="1"/>
  <c r="AN93" i="1"/>
  <c r="AV93" i="1" s="1"/>
  <c r="AH93" i="1"/>
  <c r="R93" i="1"/>
  <c r="S93" i="1" s="1"/>
  <c r="AU93" i="1" s="1"/>
  <c r="AQ92" i="1"/>
  <c r="AW92" i="1" s="1"/>
  <c r="AN92" i="1"/>
  <c r="AV92" i="1" s="1"/>
  <c r="U92" i="1"/>
  <c r="AH92" i="1" s="1"/>
  <c r="R92" i="1"/>
  <c r="S92" i="1" s="1"/>
  <c r="AU92" i="1" s="1"/>
  <c r="AQ91" i="1"/>
  <c r="AW91" i="1" s="1"/>
  <c r="AN91" i="1"/>
  <c r="AV91" i="1" s="1"/>
  <c r="U91" i="1"/>
  <c r="R91" i="1"/>
  <c r="T91" i="1" s="1"/>
  <c r="AQ90" i="1"/>
  <c r="AW90" i="1" s="1"/>
  <c r="AN90" i="1"/>
  <c r="AV90" i="1" s="1"/>
  <c r="U90" i="1"/>
  <c r="R90" i="1"/>
  <c r="S90" i="1" s="1"/>
  <c r="AU90" i="1" s="1"/>
  <c r="AQ89" i="1"/>
  <c r="AW89" i="1" s="1"/>
  <c r="AN89" i="1"/>
  <c r="AV89" i="1" s="1"/>
  <c r="U89" i="1"/>
  <c r="R89" i="1"/>
  <c r="T89" i="1" s="1"/>
  <c r="AQ88" i="1"/>
  <c r="AW88" i="1" s="1"/>
  <c r="AN88" i="1"/>
  <c r="AV88" i="1" s="1"/>
  <c r="U88" i="1"/>
  <c r="AH88" i="1" s="1"/>
  <c r="R88" i="1"/>
  <c r="S88" i="1" s="1"/>
  <c r="AU88" i="1" s="1"/>
  <c r="AQ87" i="1"/>
  <c r="AW87" i="1" s="1"/>
  <c r="AN87" i="1"/>
  <c r="AV87" i="1" s="1"/>
  <c r="U87" i="1"/>
  <c r="R87" i="1"/>
  <c r="T87" i="1" s="1"/>
  <c r="AQ86" i="1"/>
  <c r="AW86" i="1" s="1"/>
  <c r="AN86" i="1"/>
  <c r="AV86" i="1" s="1"/>
  <c r="U86" i="1"/>
  <c r="AH86" i="1" s="1"/>
  <c r="R86" i="1"/>
  <c r="S86" i="1" s="1"/>
  <c r="AU86" i="1" s="1"/>
  <c r="AQ85" i="1"/>
  <c r="AW85" i="1" s="1"/>
  <c r="AN85" i="1"/>
  <c r="AV85" i="1" s="1"/>
  <c r="R85" i="1"/>
  <c r="T85" i="1" s="1"/>
  <c r="AH85" i="1" s="1"/>
  <c r="AQ84" i="1"/>
  <c r="AW84" i="1" s="1"/>
  <c r="AN84" i="1"/>
  <c r="AV84" i="1" s="1"/>
  <c r="U84" i="1"/>
  <c r="AH84" i="1" s="1"/>
  <c r="R84" i="1"/>
  <c r="S84" i="1" s="1"/>
  <c r="AU84" i="1" s="1"/>
  <c r="AQ83" i="1"/>
  <c r="AW83" i="1" s="1"/>
  <c r="AN83" i="1"/>
  <c r="AV83" i="1" s="1"/>
  <c r="U83" i="1"/>
  <c r="R83" i="1"/>
  <c r="T83" i="1" s="1"/>
  <c r="AQ82" i="1"/>
  <c r="AW82" i="1" s="1"/>
  <c r="AN82" i="1"/>
  <c r="AV82" i="1" s="1"/>
  <c r="U82" i="1"/>
  <c r="R82" i="1"/>
  <c r="T82" i="1" s="1"/>
  <c r="AQ81" i="1"/>
  <c r="AW81" i="1" s="1"/>
  <c r="AN81" i="1"/>
  <c r="AV81" i="1" s="1"/>
  <c r="U81" i="1"/>
  <c r="R81" i="1"/>
  <c r="T81" i="1" s="1"/>
  <c r="AQ80" i="1"/>
  <c r="AW80" i="1" s="1"/>
  <c r="AN80" i="1"/>
  <c r="AV80" i="1" s="1"/>
  <c r="U80" i="1"/>
  <c r="R80" i="1"/>
  <c r="T80" i="1" s="1"/>
  <c r="AQ79" i="1"/>
  <c r="AW79" i="1" s="1"/>
  <c r="AN79" i="1"/>
  <c r="AV79" i="1" s="1"/>
  <c r="U79" i="1"/>
  <c r="R79" i="1"/>
  <c r="T79" i="1" s="1"/>
  <c r="AQ78" i="1"/>
  <c r="AW78" i="1" s="1"/>
  <c r="AN78" i="1"/>
  <c r="AV78" i="1" s="1"/>
  <c r="U78" i="1"/>
  <c r="R78" i="1"/>
  <c r="T78" i="1" s="1"/>
  <c r="AQ77" i="1"/>
  <c r="AW77" i="1" s="1"/>
  <c r="AN77" i="1"/>
  <c r="AV77" i="1" s="1"/>
  <c r="U77" i="1"/>
  <c r="AH77" i="1" s="1"/>
  <c r="R77" i="1"/>
  <c r="S77" i="1" s="1"/>
  <c r="AU77" i="1" s="1"/>
  <c r="AQ76" i="1"/>
  <c r="AW76" i="1" s="1"/>
  <c r="AN76" i="1"/>
  <c r="AV76" i="1" s="1"/>
  <c r="R76" i="1"/>
  <c r="T76" i="1" s="1"/>
  <c r="AH76" i="1" s="1"/>
  <c r="AQ75" i="1"/>
  <c r="AW75" i="1" s="1"/>
  <c r="AN75" i="1"/>
  <c r="AV75" i="1" s="1"/>
  <c r="U75" i="1"/>
  <c r="R75" i="1"/>
  <c r="T75" i="1" s="1"/>
  <c r="AQ74" i="1"/>
  <c r="AW74" i="1" s="1"/>
  <c r="AN74" i="1"/>
  <c r="AV74" i="1" s="1"/>
  <c r="U74" i="1"/>
  <c r="R74" i="1"/>
  <c r="T74" i="1" s="1"/>
  <c r="AQ73" i="1"/>
  <c r="AW73" i="1" s="1"/>
  <c r="AN73" i="1"/>
  <c r="AV73" i="1" s="1"/>
  <c r="U73" i="1"/>
  <c r="R73" i="1"/>
  <c r="T73" i="1" s="1"/>
  <c r="AQ72" i="1"/>
  <c r="AW72" i="1" s="1"/>
  <c r="AN72" i="1"/>
  <c r="AV72" i="1" s="1"/>
  <c r="U72" i="1"/>
  <c r="AH72" i="1" s="1"/>
  <c r="R72" i="1"/>
  <c r="S72" i="1" s="1"/>
  <c r="AU72" i="1" s="1"/>
  <c r="AQ71" i="1"/>
  <c r="AW71" i="1" s="1"/>
  <c r="AN71" i="1"/>
  <c r="AV71" i="1" s="1"/>
  <c r="U71" i="1"/>
  <c r="R71" i="1"/>
  <c r="S71" i="1" s="1"/>
  <c r="AU71" i="1" s="1"/>
  <c r="AQ70" i="1"/>
  <c r="AW70" i="1" s="1"/>
  <c r="AN70" i="1"/>
  <c r="AV70" i="1" s="1"/>
  <c r="U70" i="1"/>
  <c r="R70" i="1"/>
  <c r="T70" i="1" s="1"/>
  <c r="AQ69" i="1"/>
  <c r="AW69" i="1" s="1"/>
  <c r="AN69" i="1"/>
  <c r="AV69" i="1" s="1"/>
  <c r="U69" i="1"/>
  <c r="R69" i="1"/>
  <c r="S69" i="1" s="1"/>
  <c r="AU69" i="1" s="1"/>
  <c r="AQ68" i="1"/>
  <c r="AW68" i="1" s="1"/>
  <c r="AN68" i="1"/>
  <c r="AV68" i="1" s="1"/>
  <c r="U68" i="1"/>
  <c r="R68" i="1"/>
  <c r="T68" i="1" s="1"/>
  <c r="AQ67" i="1"/>
  <c r="AW67" i="1" s="1"/>
  <c r="AN67" i="1"/>
  <c r="AV67" i="1" s="1"/>
  <c r="U67" i="1"/>
  <c r="AH67" i="1" s="1"/>
  <c r="R67" i="1"/>
  <c r="S67" i="1" s="1"/>
  <c r="AU67" i="1" s="1"/>
  <c r="AQ66" i="1"/>
  <c r="AW66" i="1" s="1"/>
  <c r="AN66" i="1"/>
  <c r="AV66" i="1" s="1"/>
  <c r="U66" i="1"/>
  <c r="R66" i="1"/>
  <c r="T66" i="1" s="1"/>
  <c r="AQ65" i="1"/>
  <c r="AW65" i="1" s="1"/>
  <c r="AN65" i="1"/>
  <c r="AV65" i="1" s="1"/>
  <c r="U65" i="1"/>
  <c r="R65" i="1"/>
  <c r="T65" i="1" s="1"/>
  <c r="AQ64" i="1"/>
  <c r="AW64" i="1" s="1"/>
  <c r="AN64" i="1"/>
  <c r="AV64" i="1" s="1"/>
  <c r="R64" i="1"/>
  <c r="T64" i="1" s="1"/>
  <c r="AH64" i="1" s="1"/>
  <c r="AQ63" i="1"/>
  <c r="AW63" i="1" s="1"/>
  <c r="AN63" i="1"/>
  <c r="AV63" i="1" s="1"/>
  <c r="U63" i="1"/>
  <c r="R63" i="1"/>
  <c r="S63" i="1" s="1"/>
  <c r="AU63" i="1" s="1"/>
  <c r="AQ62" i="1"/>
  <c r="AW62" i="1" s="1"/>
  <c r="AN62" i="1"/>
  <c r="AV62" i="1" s="1"/>
  <c r="U62" i="1"/>
  <c r="R62" i="1"/>
  <c r="T62" i="1" s="1"/>
  <c r="AQ61" i="1"/>
  <c r="AW61" i="1" s="1"/>
  <c r="AN61" i="1"/>
  <c r="AV61" i="1" s="1"/>
  <c r="U61" i="1"/>
  <c r="R61" i="1"/>
  <c r="T61" i="1" s="1"/>
  <c r="AQ60" i="1"/>
  <c r="AW60" i="1" s="1"/>
  <c r="AN60" i="1"/>
  <c r="AV60" i="1" s="1"/>
  <c r="R60" i="1"/>
  <c r="T60" i="1" s="1"/>
  <c r="AH60" i="1" s="1"/>
  <c r="AQ59" i="1"/>
  <c r="AW59" i="1" s="1"/>
  <c r="AN59" i="1"/>
  <c r="AV59" i="1" s="1"/>
  <c r="U59" i="1"/>
  <c r="R59" i="1"/>
  <c r="T59" i="1" s="1"/>
  <c r="AQ58" i="1"/>
  <c r="AW58" i="1" s="1"/>
  <c r="AN58" i="1"/>
  <c r="AV58" i="1" s="1"/>
  <c r="R58" i="1"/>
  <c r="AQ57" i="1"/>
  <c r="AW57" i="1" s="1"/>
  <c r="AN57" i="1"/>
  <c r="AV57" i="1" s="1"/>
  <c r="U57" i="1"/>
  <c r="R57" i="1"/>
  <c r="T57" i="1" s="1"/>
  <c r="AQ56" i="1"/>
  <c r="AW56" i="1" s="1"/>
  <c r="AN56" i="1"/>
  <c r="AV56" i="1" s="1"/>
  <c r="U56" i="1"/>
  <c r="R56" i="1"/>
  <c r="T56" i="1" s="1"/>
  <c r="AQ55" i="1"/>
  <c r="AW55" i="1" s="1"/>
  <c r="AN55" i="1"/>
  <c r="AV55" i="1" s="1"/>
  <c r="U55" i="1"/>
  <c r="R55" i="1"/>
  <c r="T55" i="1" s="1"/>
  <c r="AQ54" i="1"/>
  <c r="AW54" i="1" s="1"/>
  <c r="AN54" i="1"/>
  <c r="AV54" i="1" s="1"/>
  <c r="U54" i="1"/>
  <c r="AH54" i="1" s="1"/>
  <c r="R54" i="1"/>
  <c r="S54" i="1" s="1"/>
  <c r="AU54" i="1" s="1"/>
  <c r="AQ53" i="1"/>
  <c r="AW53" i="1" s="1"/>
  <c r="AN53" i="1"/>
  <c r="AV53" i="1" s="1"/>
  <c r="R53" i="1"/>
  <c r="S53" i="1" s="1"/>
  <c r="AU53" i="1" s="1"/>
  <c r="AQ52" i="1"/>
  <c r="AW52" i="1" s="1"/>
  <c r="AN52" i="1"/>
  <c r="AV52" i="1" s="1"/>
  <c r="T52" i="1"/>
  <c r="AH52" i="1" s="1"/>
  <c r="S52" i="1"/>
  <c r="AU52" i="1" s="1"/>
  <c r="AQ51" i="1"/>
  <c r="AW51" i="1" s="1"/>
  <c r="AN51" i="1"/>
  <c r="AV51" i="1" s="1"/>
  <c r="R51" i="1"/>
  <c r="S51" i="1" s="1"/>
  <c r="AU51" i="1" s="1"/>
  <c r="AQ50" i="1"/>
  <c r="AW50" i="1" s="1"/>
  <c r="AN50" i="1"/>
  <c r="AV50" i="1" s="1"/>
  <c r="U50" i="1"/>
  <c r="R50" i="1"/>
  <c r="S50" i="1" s="1"/>
  <c r="AU50" i="1" s="1"/>
  <c r="AQ49" i="1"/>
  <c r="AW49" i="1" s="1"/>
  <c r="AN49" i="1"/>
  <c r="AV49" i="1" s="1"/>
  <c r="U49" i="1"/>
  <c r="AH49" i="1" s="1"/>
  <c r="R49" i="1"/>
  <c r="S49" i="1" s="1"/>
  <c r="AQ48" i="1"/>
  <c r="AW48" i="1" s="1"/>
  <c r="AN48" i="1"/>
  <c r="AV48" i="1" s="1"/>
  <c r="U48" i="1"/>
  <c r="R48" i="1"/>
  <c r="T48" i="1" s="1"/>
  <c r="AQ47" i="1"/>
  <c r="AW47" i="1" s="1"/>
  <c r="AN47" i="1"/>
  <c r="AV47" i="1" s="1"/>
  <c r="U47" i="1"/>
  <c r="R47" i="1"/>
  <c r="AQ46" i="1"/>
  <c r="AW46" i="1" s="1"/>
  <c r="AN46" i="1"/>
  <c r="AV46" i="1" s="1"/>
  <c r="R46" i="1"/>
  <c r="T46" i="1" s="1"/>
  <c r="AH46" i="1" s="1"/>
  <c r="AQ45" i="1"/>
  <c r="AW45" i="1" s="1"/>
  <c r="AN45" i="1"/>
  <c r="AV45" i="1" s="1"/>
  <c r="U45" i="1"/>
  <c r="R45" i="1"/>
  <c r="T45" i="1" s="1"/>
  <c r="AQ44" i="1"/>
  <c r="AW44" i="1" s="1"/>
  <c r="AN44" i="1"/>
  <c r="AV44" i="1" s="1"/>
  <c r="U44" i="1"/>
  <c r="R44" i="1"/>
  <c r="S44" i="1" s="1"/>
  <c r="AU44" i="1" s="1"/>
  <c r="AQ43" i="1"/>
  <c r="AW43" i="1" s="1"/>
  <c r="AN43" i="1"/>
  <c r="AV43" i="1" s="1"/>
  <c r="U43" i="1"/>
  <c r="R43" i="1"/>
  <c r="S43" i="1" s="1"/>
  <c r="AU43" i="1" s="1"/>
  <c r="AQ42" i="1"/>
  <c r="AW42" i="1" s="1"/>
  <c r="AN42" i="1"/>
  <c r="AV42" i="1" s="1"/>
  <c r="R42" i="1"/>
  <c r="T42" i="1" s="1"/>
  <c r="AH42" i="1" s="1"/>
  <c r="AQ41" i="1"/>
  <c r="AW41" i="1" s="1"/>
  <c r="AN41" i="1"/>
  <c r="AV41" i="1" s="1"/>
  <c r="U41" i="1"/>
  <c r="AH41" i="1" s="1"/>
  <c r="R41" i="1"/>
  <c r="S41" i="1" s="1"/>
  <c r="AU41" i="1" s="1"/>
  <c r="AQ40" i="1"/>
  <c r="AW40" i="1" s="1"/>
  <c r="AN40" i="1"/>
  <c r="AV40" i="1" s="1"/>
  <c r="U40" i="1"/>
  <c r="AH40" i="1" s="1"/>
  <c r="R40" i="1"/>
  <c r="S40" i="1" s="1"/>
  <c r="AU40" i="1" s="1"/>
  <c r="AQ39" i="1"/>
  <c r="AW39" i="1" s="1"/>
  <c r="AN39" i="1"/>
  <c r="AV39" i="1" s="1"/>
  <c r="U39" i="1"/>
  <c r="R39" i="1"/>
  <c r="T39" i="1" s="1"/>
  <c r="AQ38" i="1"/>
  <c r="AW38" i="1" s="1"/>
  <c r="AN38" i="1"/>
  <c r="AV38" i="1" s="1"/>
  <c r="U38" i="1"/>
  <c r="R38" i="1"/>
  <c r="T38" i="1" s="1"/>
  <c r="AQ37" i="1"/>
  <c r="AW37" i="1" s="1"/>
  <c r="AN37" i="1"/>
  <c r="AV37" i="1" s="1"/>
  <c r="U37" i="1"/>
  <c r="AH37" i="1" s="1"/>
  <c r="R37" i="1"/>
  <c r="S37" i="1" s="1"/>
  <c r="AU37" i="1" s="1"/>
  <c r="AQ36" i="1"/>
  <c r="AW36" i="1" s="1"/>
  <c r="AN36" i="1"/>
  <c r="AV36" i="1" s="1"/>
  <c r="U36" i="1"/>
  <c r="R36" i="1"/>
  <c r="S36" i="1" s="1"/>
  <c r="AU36" i="1" s="1"/>
  <c r="AQ35" i="1"/>
  <c r="AW35" i="1" s="1"/>
  <c r="AN35" i="1"/>
  <c r="AV35" i="1" s="1"/>
  <c r="U35" i="1"/>
  <c r="R35" i="1"/>
  <c r="S35" i="1" s="1"/>
  <c r="AU35" i="1" s="1"/>
  <c r="AQ34" i="1"/>
  <c r="AW34" i="1" s="1"/>
  <c r="AN34" i="1"/>
  <c r="AV34" i="1" s="1"/>
  <c r="U34" i="1"/>
  <c r="R34" i="1"/>
  <c r="T34" i="1" s="1"/>
  <c r="AQ33" i="1"/>
  <c r="AW33" i="1" s="1"/>
  <c r="AN33" i="1"/>
  <c r="AV33" i="1" s="1"/>
  <c r="R33" i="1"/>
  <c r="T33" i="1" s="1"/>
  <c r="AH33" i="1" s="1"/>
  <c r="AQ32" i="1"/>
  <c r="AW32" i="1" s="1"/>
  <c r="AN32" i="1"/>
  <c r="AV32" i="1" s="1"/>
  <c r="U32" i="1"/>
  <c r="R32" i="1"/>
  <c r="AQ31" i="1"/>
  <c r="AW31" i="1" s="1"/>
  <c r="AN31" i="1"/>
  <c r="AV31" i="1" s="1"/>
  <c r="U31" i="1"/>
  <c r="R31" i="1"/>
  <c r="T31" i="1" s="1"/>
  <c r="AQ30" i="1"/>
  <c r="AW30" i="1" s="1"/>
  <c r="AN30" i="1"/>
  <c r="AV30" i="1" s="1"/>
  <c r="R30" i="1"/>
  <c r="T30" i="1" s="1"/>
  <c r="AH30" i="1" s="1"/>
  <c r="AQ29" i="1"/>
  <c r="AW29" i="1" s="1"/>
  <c r="AN29" i="1"/>
  <c r="AV29" i="1" s="1"/>
  <c r="U29" i="1"/>
  <c r="R29" i="1"/>
  <c r="T29" i="1" s="1"/>
  <c r="AQ28" i="1"/>
  <c r="AW28" i="1" s="1"/>
  <c r="AN28" i="1"/>
  <c r="AV28" i="1" s="1"/>
  <c r="U28" i="1"/>
  <c r="R28" i="1"/>
  <c r="T28" i="1" s="1"/>
  <c r="AQ27" i="1"/>
  <c r="AW27" i="1" s="1"/>
  <c r="AN27" i="1"/>
  <c r="AV27" i="1" s="1"/>
  <c r="R27" i="1"/>
  <c r="T27" i="1" s="1"/>
  <c r="AH27" i="1" s="1"/>
  <c r="AQ26" i="1"/>
  <c r="AW26" i="1" s="1"/>
  <c r="AN26" i="1"/>
  <c r="AV26" i="1" s="1"/>
  <c r="U26" i="1"/>
  <c r="R26" i="1"/>
  <c r="T26" i="1" s="1"/>
  <c r="AQ25" i="1"/>
  <c r="AW25" i="1" s="1"/>
  <c r="AN25" i="1"/>
  <c r="AV25" i="1" s="1"/>
  <c r="U25" i="1"/>
  <c r="R25" i="1"/>
  <c r="S25" i="1" s="1"/>
  <c r="AU25" i="1" s="1"/>
  <c r="AQ24" i="1"/>
  <c r="AW24" i="1" s="1"/>
  <c r="AN24" i="1"/>
  <c r="AV24" i="1" s="1"/>
  <c r="U24" i="1"/>
  <c r="R24" i="1"/>
  <c r="S24" i="1" s="1"/>
  <c r="AU24" i="1" s="1"/>
  <c r="AQ23" i="1"/>
  <c r="AW23" i="1" s="1"/>
  <c r="AN23" i="1"/>
  <c r="AV23" i="1" s="1"/>
  <c r="U23" i="1"/>
  <c r="R23" i="1"/>
  <c r="T23" i="1" s="1"/>
  <c r="AQ22" i="1"/>
  <c r="AW22" i="1" s="1"/>
  <c r="AN22" i="1"/>
  <c r="AV22" i="1" s="1"/>
  <c r="R22" i="1"/>
  <c r="T22" i="1" s="1"/>
  <c r="AH22" i="1" s="1"/>
  <c r="AQ21" i="1"/>
  <c r="AW21" i="1" s="1"/>
  <c r="AN21" i="1"/>
  <c r="AV21" i="1" s="1"/>
  <c r="U21" i="1"/>
  <c r="R21" i="1"/>
  <c r="T21" i="1" s="1"/>
  <c r="AQ20" i="1"/>
  <c r="AW20" i="1" s="1"/>
  <c r="AN20" i="1"/>
  <c r="AV20" i="1" s="1"/>
  <c r="U20" i="1"/>
  <c r="AH20" i="1" s="1"/>
  <c r="R20" i="1"/>
  <c r="S20" i="1" s="1"/>
  <c r="AU20" i="1" s="1"/>
  <c r="AQ19" i="1"/>
  <c r="AW19" i="1" s="1"/>
  <c r="AN19" i="1"/>
  <c r="AV19" i="1" s="1"/>
  <c r="U19" i="1"/>
  <c r="R19" i="1"/>
  <c r="S19" i="1" s="1"/>
  <c r="AU19" i="1" s="1"/>
  <c r="AQ18" i="1"/>
  <c r="AW18" i="1" s="1"/>
  <c r="AN18" i="1"/>
  <c r="AV18" i="1" s="1"/>
  <c r="U18" i="1"/>
  <c r="R18" i="1"/>
  <c r="T18" i="1" s="1"/>
  <c r="AQ17" i="1"/>
  <c r="AW17" i="1" s="1"/>
  <c r="AN17" i="1"/>
  <c r="AV17" i="1" s="1"/>
  <c r="U17" i="1"/>
  <c r="R17" i="1"/>
  <c r="S17" i="1" s="1"/>
  <c r="AU17" i="1" s="1"/>
  <c r="AQ16" i="1"/>
  <c r="AW16" i="1" s="1"/>
  <c r="AN16" i="1"/>
  <c r="AV16" i="1" s="1"/>
  <c r="U16" i="1"/>
  <c r="R16" i="1"/>
  <c r="T16" i="1" s="1"/>
  <c r="AQ15" i="1"/>
  <c r="AW15" i="1" s="1"/>
  <c r="AN15" i="1"/>
  <c r="AV15" i="1" s="1"/>
  <c r="U15" i="1"/>
  <c r="R15" i="1"/>
  <c r="AQ14" i="1"/>
  <c r="AW14" i="1" s="1"/>
  <c r="AN14" i="1"/>
  <c r="AV14" i="1" s="1"/>
  <c r="U14" i="1"/>
  <c r="AH14" i="1" s="1"/>
  <c r="R14" i="1"/>
  <c r="S14" i="1" s="1"/>
  <c r="AU14" i="1" s="1"/>
  <c r="AQ13" i="1"/>
  <c r="AW13" i="1" s="1"/>
  <c r="AN13" i="1"/>
  <c r="AV13" i="1" s="1"/>
  <c r="U13" i="1"/>
  <c r="R13" i="1"/>
  <c r="T13" i="1" s="1"/>
  <c r="AQ12" i="1"/>
  <c r="AW12" i="1" s="1"/>
  <c r="AN12" i="1"/>
  <c r="AV12" i="1" s="1"/>
  <c r="U12" i="1"/>
  <c r="R12" i="1"/>
  <c r="T12" i="1" s="1"/>
  <c r="AQ11" i="1"/>
  <c r="AW11" i="1" s="1"/>
  <c r="AN11" i="1"/>
  <c r="AV11" i="1" s="1"/>
  <c r="U11" i="1"/>
  <c r="R11" i="1"/>
  <c r="S11" i="1" s="1"/>
  <c r="AU11" i="1" s="1"/>
  <c r="AQ10" i="1"/>
  <c r="AW10" i="1" s="1"/>
  <c r="AN10" i="1"/>
  <c r="AV10" i="1" s="1"/>
  <c r="R10" i="1"/>
  <c r="T10" i="1" s="1"/>
  <c r="AH10" i="1" s="1"/>
  <c r="AQ9" i="1"/>
  <c r="AW9" i="1" s="1"/>
  <c r="AN9" i="1"/>
  <c r="AV9" i="1" s="1"/>
  <c r="U9" i="1"/>
  <c r="R9" i="1"/>
  <c r="S9" i="1" s="1"/>
  <c r="AU9" i="1" s="1"/>
  <c r="AQ8" i="1"/>
  <c r="AW8" i="1" s="1"/>
  <c r="AN8" i="1"/>
  <c r="AV8" i="1" s="1"/>
  <c r="R8" i="1"/>
  <c r="T8" i="1" s="1"/>
  <c r="AH8" i="1" s="1"/>
  <c r="AQ7" i="1"/>
  <c r="AW7" i="1" s="1"/>
  <c r="AN7" i="1"/>
  <c r="AV7" i="1" s="1"/>
  <c r="U7" i="1"/>
  <c r="R7" i="1"/>
  <c r="T7" i="1" s="1"/>
  <c r="AQ6" i="1"/>
  <c r="AW6" i="1" s="1"/>
  <c r="AN6" i="1"/>
  <c r="AV6" i="1" s="1"/>
  <c r="U6" i="1"/>
  <c r="AH6" i="1" s="1"/>
  <c r="R6" i="1"/>
  <c r="S6" i="1" s="1"/>
  <c r="AU6" i="1" s="1"/>
  <c r="AQ5" i="1"/>
  <c r="AW5" i="1" s="1"/>
  <c r="AN5" i="1"/>
  <c r="AV5" i="1" s="1"/>
  <c r="V5" i="1"/>
  <c r="U5" i="1"/>
  <c r="R5" i="1"/>
  <c r="T5" i="1" s="1"/>
  <c r="AQ4" i="1"/>
  <c r="AW4" i="1" s="1"/>
  <c r="AN4" i="1"/>
  <c r="AV4" i="1" s="1"/>
  <c r="V4" i="1"/>
  <c r="U4" i="1"/>
  <c r="R4" i="1"/>
  <c r="AH22" i="6" l="1"/>
  <c r="AH13" i="6"/>
  <c r="AH15" i="6"/>
  <c r="AH17" i="6"/>
  <c r="AH45" i="6"/>
  <c r="AH47" i="6"/>
  <c r="AH51" i="6"/>
  <c r="AV101" i="1"/>
  <c r="AH82" i="2"/>
  <c r="AR82" i="2" s="1"/>
  <c r="AS82" i="2" s="1"/>
  <c r="AW101" i="1"/>
  <c r="AX23" i="6"/>
  <c r="AZ23" i="6" s="1"/>
  <c r="AX31" i="6"/>
  <c r="AZ31" i="6" s="1"/>
  <c r="AH19" i="6"/>
  <c r="AR19" i="6" s="1"/>
  <c r="AS19" i="6" s="1"/>
  <c r="AX27" i="6"/>
  <c r="AZ27" i="6" s="1"/>
  <c r="AH8" i="6"/>
  <c r="AR8" i="6" s="1"/>
  <c r="AS8" i="6" s="1"/>
  <c r="T43" i="6"/>
  <c r="AH43" i="6" s="1"/>
  <c r="AR43" i="6" s="1"/>
  <c r="AS43" i="6" s="1"/>
  <c r="AH10" i="2"/>
  <c r="AH48" i="2"/>
  <c r="AH67" i="2"/>
  <c r="AN81" i="5"/>
  <c r="AV81" i="5" s="1"/>
  <c r="AL95" i="5"/>
  <c r="AH79" i="5"/>
  <c r="AR79" i="5" s="1"/>
  <c r="AS79" i="5" s="1"/>
  <c r="AH81" i="5"/>
  <c r="AH21" i="1"/>
  <c r="AH65" i="1"/>
  <c r="AH87" i="1"/>
  <c r="AX41" i="1"/>
  <c r="AZ41" i="1" s="1"/>
  <c r="AH79" i="1"/>
  <c r="AH6" i="6"/>
  <c r="AX7" i="6"/>
  <c r="AZ7" i="6" s="1"/>
  <c r="T9" i="6"/>
  <c r="AH9" i="6" s="1"/>
  <c r="AR9" i="6" s="1"/>
  <c r="AS9" i="6" s="1"/>
  <c r="AX44" i="6"/>
  <c r="AZ44" i="6" s="1"/>
  <c r="U54" i="6"/>
  <c r="AX11" i="6"/>
  <c r="AZ11" i="6" s="1"/>
  <c r="AX43" i="6"/>
  <c r="AZ43" i="6" s="1"/>
  <c r="AY23" i="6"/>
  <c r="AV4" i="6"/>
  <c r="AV54" i="6" s="1"/>
  <c r="AN54" i="6"/>
  <c r="AX10" i="6"/>
  <c r="AZ10" i="6" s="1"/>
  <c r="AY10" i="6"/>
  <c r="AX12" i="6"/>
  <c r="AZ12" i="6" s="1"/>
  <c r="AX16" i="6"/>
  <c r="AZ16" i="6" s="1"/>
  <c r="AX18" i="6"/>
  <c r="AZ18" i="6" s="1"/>
  <c r="AX49" i="6"/>
  <c r="AZ49" i="6" s="1"/>
  <c r="AX53" i="6"/>
  <c r="AZ53" i="6" s="1"/>
  <c r="AX9" i="6"/>
  <c r="AZ9" i="6" s="1"/>
  <c r="AX28" i="6"/>
  <c r="AZ28" i="6" s="1"/>
  <c r="AX36" i="6"/>
  <c r="AZ36" i="6" s="1"/>
  <c r="AX52" i="6"/>
  <c r="AZ52" i="6" s="1"/>
  <c r="T4" i="6"/>
  <c r="AH4" i="6" s="1"/>
  <c r="R54" i="6"/>
  <c r="AX8" i="6"/>
  <c r="AZ8" i="6" s="1"/>
  <c r="AX21" i="6"/>
  <c r="AZ21" i="6" s="1"/>
  <c r="AQ54" i="6"/>
  <c r="AW4" i="6"/>
  <c r="AW54" i="6" s="1"/>
  <c r="AX19" i="6"/>
  <c r="AZ19" i="6" s="1"/>
  <c r="AH92" i="2"/>
  <c r="AH62" i="2"/>
  <c r="AR62" i="2" s="1"/>
  <c r="AS62" i="2" s="1"/>
  <c r="AH59" i="2"/>
  <c r="AR59" i="2" s="1"/>
  <c r="AS59" i="2" s="1"/>
  <c r="AH70" i="2"/>
  <c r="AR70" i="2" s="1"/>
  <c r="AS70" i="2" s="1"/>
  <c r="AH31" i="2"/>
  <c r="S95" i="2"/>
  <c r="AU95" i="2" s="1"/>
  <c r="AH14" i="2"/>
  <c r="AH22" i="2"/>
  <c r="AH24" i="2"/>
  <c r="AR24" i="2" s="1"/>
  <c r="AS24" i="2" s="1"/>
  <c r="AH37" i="2"/>
  <c r="AR37" i="2" s="1"/>
  <c r="AS37" i="2" s="1"/>
  <c r="AH85" i="2"/>
  <c r="AR85" i="2" s="1"/>
  <c r="AS85" i="2" s="1"/>
  <c r="AH88" i="2"/>
  <c r="AH94" i="2"/>
  <c r="AR94" i="2" s="1"/>
  <c r="AS94" i="2" s="1"/>
  <c r="AH91" i="2"/>
  <c r="AR91" i="2" s="1"/>
  <c r="AS91" i="2" s="1"/>
  <c r="AH73" i="2"/>
  <c r="AR73" i="2" s="1"/>
  <c r="AS73" i="2" s="1"/>
  <c r="AH13" i="2"/>
  <c r="AR13" i="2" s="1"/>
  <c r="AS13" i="2" s="1"/>
  <c r="AH21" i="2"/>
  <c r="AH27" i="2"/>
  <c r="AH38" i="2"/>
  <c r="AH49" i="2"/>
  <c r="AR49" i="2" s="1"/>
  <c r="AS49" i="2" s="1"/>
  <c r="AH80" i="2"/>
  <c r="AH85" i="5"/>
  <c r="AH88" i="5"/>
  <c r="AR88" i="5" s="1"/>
  <c r="AS88" i="5" s="1"/>
  <c r="AH91" i="5"/>
  <c r="AR91" i="5" s="1"/>
  <c r="AS91" i="5" s="1"/>
  <c r="AH75" i="5"/>
  <c r="AR75" i="5" s="1"/>
  <c r="AS75" i="5" s="1"/>
  <c r="U95" i="5"/>
  <c r="AW6" i="5"/>
  <c r="AW95" i="5" s="1"/>
  <c r="AQ95" i="5"/>
  <c r="T76" i="5"/>
  <c r="T95" i="5" s="1"/>
  <c r="R95" i="5"/>
  <c r="AU6" i="5"/>
  <c r="AX52" i="1"/>
  <c r="AZ52" i="1" s="1"/>
  <c r="AX43" i="1"/>
  <c r="AZ43" i="1" s="1"/>
  <c r="AX19" i="1"/>
  <c r="AZ19" i="1" s="1"/>
  <c r="AX24" i="1"/>
  <c r="AZ24" i="1" s="1"/>
  <c r="AX35" i="1"/>
  <c r="AZ35" i="1" s="1"/>
  <c r="AH39" i="1"/>
  <c r="AX71" i="1"/>
  <c r="AZ71" i="1" s="1"/>
  <c r="AX93" i="1"/>
  <c r="AZ93" i="1" s="1"/>
  <c r="AX6" i="1"/>
  <c r="AZ6" i="1" s="1"/>
  <c r="AH16" i="1"/>
  <c r="AX25" i="1"/>
  <c r="AZ25" i="1" s="1"/>
  <c r="AX36" i="1"/>
  <c r="AZ36" i="1" s="1"/>
  <c r="AX63" i="1"/>
  <c r="AZ63" i="1" s="1"/>
  <c r="AH68" i="1"/>
  <c r="AX72" i="1"/>
  <c r="AZ72" i="1" s="1"/>
  <c r="AX90" i="1"/>
  <c r="AZ90" i="1" s="1"/>
  <c r="AX9" i="1"/>
  <c r="AZ9" i="1" s="1"/>
  <c r="AX100" i="1"/>
  <c r="AZ100" i="1" s="1"/>
  <c r="AX17" i="1"/>
  <c r="AZ17" i="1" s="1"/>
  <c r="AX11" i="1"/>
  <c r="AZ11" i="1" s="1"/>
  <c r="AX67" i="1"/>
  <c r="AZ67" i="1" s="1"/>
  <c r="AX69" i="1"/>
  <c r="AZ69" i="1" s="1"/>
  <c r="AX50" i="1"/>
  <c r="AZ50" i="1" s="1"/>
  <c r="AX51" i="1"/>
  <c r="AZ51" i="1" s="1"/>
  <c r="AX53" i="1"/>
  <c r="AZ53" i="1" s="1"/>
  <c r="AR49" i="1"/>
  <c r="AS49" i="1" s="1"/>
  <c r="AU49" i="1"/>
  <c r="AX49" i="1" s="1"/>
  <c r="AZ49" i="1" s="1"/>
  <c r="AH5" i="1"/>
  <c r="AH18" i="1"/>
  <c r="AH28" i="1"/>
  <c r="AH38" i="1"/>
  <c r="AH6" i="5"/>
  <c r="AR6" i="5" s="1"/>
  <c r="V101" i="1"/>
  <c r="S4" i="1"/>
  <c r="AU4" i="1" s="1"/>
  <c r="AX4" i="1" s="1"/>
  <c r="R101" i="1"/>
  <c r="U101" i="1"/>
  <c r="AH75" i="1"/>
  <c r="AQ101" i="1"/>
  <c r="AN101" i="1"/>
  <c r="AH59" i="1"/>
  <c r="T26" i="2"/>
  <c r="AH26" i="2" s="1"/>
  <c r="AR26" i="2" s="1"/>
  <c r="AS26" i="2" s="1"/>
  <c r="AH90" i="2"/>
  <c r="AR90" i="2" s="1"/>
  <c r="AS90" i="2" s="1"/>
  <c r="AH41" i="2"/>
  <c r="AR41" i="2" s="1"/>
  <c r="AS41" i="2" s="1"/>
  <c r="AH58" i="2"/>
  <c r="AR58" i="2" s="1"/>
  <c r="AS58" i="2" s="1"/>
  <c r="S82" i="5"/>
  <c r="AU82" i="5" s="1"/>
  <c r="AX82" i="5" s="1"/>
  <c r="AZ82" i="5" s="1"/>
  <c r="AR77" i="5"/>
  <c r="AS77" i="5" s="1"/>
  <c r="AR21" i="5"/>
  <c r="AS21" i="5" s="1"/>
  <c r="AH80" i="5"/>
  <c r="AH84" i="5"/>
  <c r="AR84" i="5" s="1"/>
  <c r="AS84" i="5" s="1"/>
  <c r="S4" i="2"/>
  <c r="AU4" i="2" s="1"/>
  <c r="R103" i="2"/>
  <c r="AV4" i="2"/>
  <c r="AV103" i="2" s="1"/>
  <c r="AN103" i="2"/>
  <c r="S27" i="2"/>
  <c r="T75" i="2"/>
  <c r="AH75" i="2" s="1"/>
  <c r="AR75" i="2" s="1"/>
  <c r="AS75" i="2" s="1"/>
  <c r="U103" i="2"/>
  <c r="AW4" i="2"/>
  <c r="AQ103" i="2"/>
  <c r="AH77" i="2"/>
  <c r="AR77" i="2" s="1"/>
  <c r="AS77" i="2" s="1"/>
  <c r="AH99" i="2"/>
  <c r="AR99" i="2" s="1"/>
  <c r="AS99" i="2" s="1"/>
  <c r="T11" i="6"/>
  <c r="AH11" i="6" s="1"/>
  <c r="AR11" i="6" s="1"/>
  <c r="AS11" i="6" s="1"/>
  <c r="S4" i="6"/>
  <c r="T28" i="6"/>
  <c r="AH28" i="6" s="1"/>
  <c r="AR28" i="6" s="1"/>
  <c r="AS28" i="6" s="1"/>
  <c r="T44" i="6"/>
  <c r="AH44" i="6" s="1"/>
  <c r="AR44" i="6" s="1"/>
  <c r="AS44" i="6" s="1"/>
  <c r="T53" i="6"/>
  <c r="AH53" i="6" s="1"/>
  <c r="AR53" i="6" s="1"/>
  <c r="AS53" i="6" s="1"/>
  <c r="T16" i="6"/>
  <c r="AH16" i="6" s="1"/>
  <c r="AR16" i="6" s="1"/>
  <c r="AS16" i="6" s="1"/>
  <c r="T27" i="6"/>
  <c r="AH27" i="6" s="1"/>
  <c r="AR27" i="6" s="1"/>
  <c r="AS27" i="6" s="1"/>
  <c r="AH18" i="6"/>
  <c r="AR18" i="6" s="1"/>
  <c r="AS18" i="6" s="1"/>
  <c r="AH29" i="6"/>
  <c r="AH35" i="6"/>
  <c r="AH37" i="6"/>
  <c r="AH39" i="6"/>
  <c r="AX79" i="5"/>
  <c r="AZ79" i="5" s="1"/>
  <c r="AR62" i="5"/>
  <c r="AS62" i="5" s="1"/>
  <c r="AX75" i="5"/>
  <c r="AZ75" i="5" s="1"/>
  <c r="AX84" i="5"/>
  <c r="AZ84" i="5" s="1"/>
  <c r="AX81" i="5"/>
  <c r="AZ81" i="5" s="1"/>
  <c r="AR56" i="5"/>
  <c r="AS56" i="5" s="1"/>
  <c r="S76" i="5"/>
  <c r="AX56" i="5"/>
  <c r="AZ56" i="5" s="1"/>
  <c r="AX54" i="5"/>
  <c r="AZ54" i="5" s="1"/>
  <c r="AX91" i="5"/>
  <c r="AZ91" i="5" s="1"/>
  <c r="AR94" i="5"/>
  <c r="AS94" i="5" s="1"/>
  <c r="AH82" i="5"/>
  <c r="AR69" i="5"/>
  <c r="AS69" i="5" s="1"/>
  <c r="AH70" i="1"/>
  <c r="AH83" i="1"/>
  <c r="AH97" i="1"/>
  <c r="AH57" i="1"/>
  <c r="AH91" i="1"/>
  <c r="T25" i="2"/>
  <c r="AH25" i="2" s="1"/>
  <c r="AR25" i="2" s="1"/>
  <c r="AS25" i="2" s="1"/>
  <c r="AH6" i="2"/>
  <c r="AR6" i="2" s="1"/>
  <c r="AS6" i="2" s="1"/>
  <c r="AH33" i="2"/>
  <c r="AR33" i="2" s="1"/>
  <c r="AS33" i="2" s="1"/>
  <c r="AH47" i="2"/>
  <c r="S80" i="2"/>
  <c r="S97" i="2"/>
  <c r="AH98" i="2"/>
  <c r="AR98" i="2" s="1"/>
  <c r="AS98" i="2" s="1"/>
  <c r="T12" i="2"/>
  <c r="AH12" i="2" s="1"/>
  <c r="AR12" i="2" s="1"/>
  <c r="AS12" i="2" s="1"/>
  <c r="T65" i="2"/>
  <c r="AH65" i="2" s="1"/>
  <c r="AR65" i="2" s="1"/>
  <c r="AS65" i="2" s="1"/>
  <c r="S79" i="2"/>
  <c r="AH64" i="2"/>
  <c r="AR64" i="2" s="1"/>
  <c r="AS64" i="2" s="1"/>
  <c r="AH12" i="1"/>
  <c r="AH56" i="1"/>
  <c r="AH31" i="1"/>
  <c r="AH45" i="1"/>
  <c r="AH82" i="1"/>
  <c r="T42" i="2"/>
  <c r="AH42" i="2" s="1"/>
  <c r="AR42" i="2" s="1"/>
  <c r="AS42" i="2" s="1"/>
  <c r="AX50" i="2"/>
  <c r="AZ50" i="2" s="1"/>
  <c r="S53" i="2"/>
  <c r="AX64" i="2"/>
  <c r="AZ64" i="2" s="1"/>
  <c r="T72" i="2"/>
  <c r="AH72" i="2" s="1"/>
  <c r="AR72" i="2" s="1"/>
  <c r="AS72" i="2" s="1"/>
  <c r="T17" i="2"/>
  <c r="AH17" i="2" s="1"/>
  <c r="AR17" i="2" s="1"/>
  <c r="AS17" i="2" s="1"/>
  <c r="S60" i="2"/>
  <c r="S71" i="2"/>
  <c r="S76" i="2"/>
  <c r="S23" i="2"/>
  <c r="AU23" i="2" s="1"/>
  <c r="S88" i="2"/>
  <c r="AX29" i="2"/>
  <c r="AZ29" i="2" s="1"/>
  <c r="T81" i="2"/>
  <c r="AH81" i="2" s="1"/>
  <c r="AR81" i="2" s="1"/>
  <c r="AS81" i="2" s="1"/>
  <c r="S47" i="2"/>
  <c r="AU47" i="2" s="1"/>
  <c r="AX84" i="2"/>
  <c r="AZ84" i="2" s="1"/>
  <c r="S93" i="2"/>
  <c r="T7" i="2"/>
  <c r="AH7" i="2" s="1"/>
  <c r="AR7" i="2" s="1"/>
  <c r="AS7" i="2" s="1"/>
  <c r="AX65" i="2"/>
  <c r="AZ65" i="2" s="1"/>
  <c r="S36" i="2"/>
  <c r="S10" i="2"/>
  <c r="AU10" i="2" s="1"/>
  <c r="AH28" i="2"/>
  <c r="AR28" i="2" s="1"/>
  <c r="AS28" i="2" s="1"/>
  <c r="AR30" i="2"/>
  <c r="AS30" i="2" s="1"/>
  <c r="T35" i="2"/>
  <c r="AH35" i="2" s="1"/>
  <c r="AR35" i="2" s="1"/>
  <c r="AS35" i="2" s="1"/>
  <c r="S51" i="2"/>
  <c r="AU51" i="2" s="1"/>
  <c r="T57" i="2"/>
  <c r="AH57" i="2" s="1"/>
  <c r="AR57" i="2" s="1"/>
  <c r="AS57" i="2" s="1"/>
  <c r="S67" i="2"/>
  <c r="AR100" i="2"/>
  <c r="AS100" i="2" s="1"/>
  <c r="S8" i="2"/>
  <c r="AR8" i="2" s="1"/>
  <c r="AS8" i="2" s="1"/>
  <c r="S63" i="2"/>
  <c r="AU63" i="2" s="1"/>
  <c r="AR89" i="2"/>
  <c r="AS89" i="2" s="1"/>
  <c r="S48" i="2"/>
  <c r="T61" i="2"/>
  <c r="AH61" i="2" s="1"/>
  <c r="AR61" i="2" s="1"/>
  <c r="AS61" i="2" s="1"/>
  <c r="AX96" i="2"/>
  <c r="AZ96" i="2" s="1"/>
  <c r="S31" i="2"/>
  <c r="S52" i="2"/>
  <c r="S92" i="2"/>
  <c r="AU92" i="2" s="1"/>
  <c r="AX42" i="2"/>
  <c r="AH9" i="2"/>
  <c r="AH11" i="2"/>
  <c r="AH39" i="2"/>
  <c r="AH43" i="2"/>
  <c r="AR43" i="2" s="1"/>
  <c r="AS43" i="2" s="1"/>
  <c r="AX61" i="2"/>
  <c r="AZ61" i="2" s="1"/>
  <c r="AH69" i="2"/>
  <c r="AX72" i="2"/>
  <c r="AZ72" i="2" s="1"/>
  <c r="AX73" i="2"/>
  <c r="AY73" i="2" s="1"/>
  <c r="AH101" i="2"/>
  <c r="AR101" i="2" s="1"/>
  <c r="AS101" i="2" s="1"/>
  <c r="AH102" i="2"/>
  <c r="AR102" i="2" s="1"/>
  <c r="AS102" i="2" s="1"/>
  <c r="T36" i="6"/>
  <c r="AH36" i="6" s="1"/>
  <c r="AR36" i="6" s="1"/>
  <c r="AS36" i="6" s="1"/>
  <c r="T52" i="6"/>
  <c r="AH52" i="6" s="1"/>
  <c r="AR52" i="6" s="1"/>
  <c r="AS52" i="6" s="1"/>
  <c r="T7" i="6"/>
  <c r="AH7" i="6" s="1"/>
  <c r="AR7" i="6" s="1"/>
  <c r="AS7" i="6" s="1"/>
  <c r="T10" i="6"/>
  <c r="AH10" i="6" s="1"/>
  <c r="AR10" i="6" s="1"/>
  <c r="AS10" i="6" s="1"/>
  <c r="S17" i="6"/>
  <c r="S35" i="6"/>
  <c r="AU35" i="6" s="1"/>
  <c r="AX35" i="6" s="1"/>
  <c r="AZ35" i="6" s="1"/>
  <c r="S51" i="6"/>
  <c r="T12" i="6"/>
  <c r="AH12" i="6" s="1"/>
  <c r="AR12" i="6" s="1"/>
  <c r="AS12" i="6" s="1"/>
  <c r="AH23" i="6"/>
  <c r="AR23" i="6" s="1"/>
  <c r="AS23" i="6" s="1"/>
  <c r="AH50" i="6"/>
  <c r="AH74" i="5"/>
  <c r="AR74" i="5" s="1"/>
  <c r="AS74" i="5" s="1"/>
  <c r="AX88" i="5"/>
  <c r="AZ88" i="5" s="1"/>
  <c r="AX87" i="5"/>
  <c r="AZ87" i="5" s="1"/>
  <c r="AH71" i="5"/>
  <c r="AR71" i="5" s="1"/>
  <c r="AS71" i="5" s="1"/>
  <c r="AX30" i="2"/>
  <c r="AZ30" i="2" s="1"/>
  <c r="AH55" i="2"/>
  <c r="AR55" i="2" s="1"/>
  <c r="AS55" i="2" s="1"/>
  <c r="AR19" i="2"/>
  <c r="AS19" i="2" s="1"/>
  <c r="AX49" i="2"/>
  <c r="AZ49" i="2" s="1"/>
  <c r="AX13" i="2"/>
  <c r="AZ13" i="2" s="1"/>
  <c r="AX44" i="2"/>
  <c r="AZ44" i="2" s="1"/>
  <c r="AH68" i="2"/>
  <c r="AR68" i="2" s="1"/>
  <c r="AS68" i="2" s="1"/>
  <c r="AH29" i="2"/>
  <c r="AR29" i="2" s="1"/>
  <c r="AS29" i="2" s="1"/>
  <c r="AH5" i="2"/>
  <c r="AR5" i="2" s="1"/>
  <c r="AS5" i="2" s="1"/>
  <c r="AR34" i="2"/>
  <c r="AS34" i="2" s="1"/>
  <c r="AH46" i="2"/>
  <c r="AR46" i="2" s="1"/>
  <c r="AS46" i="2" s="1"/>
  <c r="AX99" i="2"/>
  <c r="AX58" i="2"/>
  <c r="AZ58" i="2" s="1"/>
  <c r="AH83" i="2"/>
  <c r="AR83" i="2" s="1"/>
  <c r="AS83" i="2" s="1"/>
  <c r="T35" i="1"/>
  <c r="AH35" i="1" s="1"/>
  <c r="AR35" i="1" s="1"/>
  <c r="AS35" i="1" s="1"/>
  <c r="AX54" i="1"/>
  <c r="AZ54" i="1" s="1"/>
  <c r="AH23" i="1"/>
  <c r="AH55" i="1"/>
  <c r="AR54" i="1"/>
  <c r="AS54" i="1" s="1"/>
  <c r="T53" i="1"/>
  <c r="AH53" i="1" s="1"/>
  <c r="AR53" i="1" s="1"/>
  <c r="AS53" i="1" s="1"/>
  <c r="AH48" i="1"/>
  <c r="AX77" i="1"/>
  <c r="AZ77" i="1" s="1"/>
  <c r="AH81" i="1"/>
  <c r="AX86" i="1"/>
  <c r="AZ86" i="1" s="1"/>
  <c r="AH89" i="1"/>
  <c r="S60" i="1"/>
  <c r="AU60" i="1" s="1"/>
  <c r="AX60" i="1" s="1"/>
  <c r="AZ60" i="1" s="1"/>
  <c r="AR77" i="1"/>
  <c r="AS77" i="1" s="1"/>
  <c r="AR86" i="1"/>
  <c r="AS86" i="1" s="1"/>
  <c r="T24" i="1"/>
  <c r="AH24" i="1" s="1"/>
  <c r="AR24" i="1" s="1"/>
  <c r="AS24" i="1" s="1"/>
  <c r="S48" i="1"/>
  <c r="AU48" i="1" s="1"/>
  <c r="AX48" i="1" s="1"/>
  <c r="AZ48" i="1" s="1"/>
  <c r="AH13" i="1"/>
  <c r="T69" i="1"/>
  <c r="AH69" i="1" s="1"/>
  <c r="AR69" i="1" s="1"/>
  <c r="AS69" i="1" s="1"/>
  <c r="S82" i="1"/>
  <c r="AU82" i="1" s="1"/>
  <c r="T9" i="1"/>
  <c r="AH9" i="1" s="1"/>
  <c r="AR9" i="1" s="1"/>
  <c r="AS9" i="1" s="1"/>
  <c r="T19" i="1"/>
  <c r="AH19" i="1" s="1"/>
  <c r="AR19" i="1" s="1"/>
  <c r="AS19" i="1" s="1"/>
  <c r="S34" i="1"/>
  <c r="AU34" i="1" s="1"/>
  <c r="T43" i="1"/>
  <c r="AH43" i="1" s="1"/>
  <c r="AR43" i="1" s="1"/>
  <c r="AS43" i="1" s="1"/>
  <c r="T44" i="1"/>
  <c r="AH44" i="1" s="1"/>
  <c r="AR44" i="1" s="1"/>
  <c r="AS44" i="1" s="1"/>
  <c r="AH62" i="1"/>
  <c r="T63" i="1"/>
  <c r="AH63" i="1" s="1"/>
  <c r="AR63" i="1" s="1"/>
  <c r="AS63" i="1" s="1"/>
  <c r="S64" i="1"/>
  <c r="AU64" i="1" s="1"/>
  <c r="AX64" i="1" s="1"/>
  <c r="AZ64" i="1" s="1"/>
  <c r="AH78" i="1"/>
  <c r="T90" i="1"/>
  <c r="AH90" i="1" s="1"/>
  <c r="AR90" i="1" s="1"/>
  <c r="AS90" i="1" s="1"/>
  <c r="S91" i="1"/>
  <c r="AU91" i="1" s="1"/>
  <c r="AR93" i="1"/>
  <c r="AS93" i="1" s="1"/>
  <c r="S97" i="1"/>
  <c r="AU97" i="1" s="1"/>
  <c r="T71" i="1"/>
  <c r="AH71" i="1" s="1"/>
  <c r="AR71" i="1" s="1"/>
  <c r="AS71" i="1" s="1"/>
  <c r="T11" i="1"/>
  <c r="AH11" i="1" s="1"/>
  <c r="AR11" i="1" s="1"/>
  <c r="AS11" i="1" s="1"/>
  <c r="S89" i="1"/>
  <c r="AU89" i="1" s="1"/>
  <c r="T4" i="1"/>
  <c r="AH26" i="1"/>
  <c r="AH74" i="1"/>
  <c r="AH96" i="1"/>
  <c r="S16" i="1"/>
  <c r="AU16" i="1" s="1"/>
  <c r="T50" i="1"/>
  <c r="AH50" i="1" s="1"/>
  <c r="AR50" i="1" s="1"/>
  <c r="AS50" i="1" s="1"/>
  <c r="S59" i="1"/>
  <c r="AU59" i="1" s="1"/>
  <c r="S55" i="1"/>
  <c r="AU55" i="1" s="1"/>
  <c r="T25" i="1"/>
  <c r="AH25" i="1" s="1"/>
  <c r="AR25" i="1" s="1"/>
  <c r="AS25" i="1" s="1"/>
  <c r="AH7" i="1"/>
  <c r="AH29" i="1"/>
  <c r="AH34" i="1"/>
  <c r="AH61" i="1"/>
  <c r="AH73" i="1"/>
  <c r="AH80" i="1"/>
  <c r="S96" i="1"/>
  <c r="AU96" i="1" s="1"/>
  <c r="AX96" i="1" s="1"/>
  <c r="AV6" i="5"/>
  <c r="AR83" i="5"/>
  <c r="AS83" i="5" s="1"/>
  <c r="AX83" i="5"/>
  <c r="AZ83" i="5" s="1"/>
  <c r="AX71" i="5"/>
  <c r="AZ71" i="5" s="1"/>
  <c r="AX74" i="5"/>
  <c r="AZ74" i="5" s="1"/>
  <c r="AX62" i="5"/>
  <c r="AZ62" i="5" s="1"/>
  <c r="S80" i="5"/>
  <c r="AU80" i="5" s="1"/>
  <c r="AX90" i="5"/>
  <c r="AZ90" i="5" s="1"/>
  <c r="AR90" i="5"/>
  <c r="AS90" i="5" s="1"/>
  <c r="AX21" i="5"/>
  <c r="AZ21" i="5" s="1"/>
  <c r="AR78" i="5"/>
  <c r="AS78" i="5" s="1"/>
  <c r="AR54" i="5"/>
  <c r="AS54" i="5" s="1"/>
  <c r="S85" i="5"/>
  <c r="AU85" i="5" s="1"/>
  <c r="AX69" i="5"/>
  <c r="AX94" i="5"/>
  <c r="AZ94" i="5" s="1"/>
  <c r="AX77" i="5"/>
  <c r="AZ77" i="5" s="1"/>
  <c r="AX86" i="5"/>
  <c r="AZ86" i="5" s="1"/>
  <c r="AR86" i="5"/>
  <c r="AS86" i="5" s="1"/>
  <c r="AR87" i="5"/>
  <c r="AS87" i="5" s="1"/>
  <c r="T25" i="6"/>
  <c r="AH25" i="6" s="1"/>
  <c r="S25" i="6"/>
  <c r="AU25" i="6" s="1"/>
  <c r="S24" i="6"/>
  <c r="S20" i="6"/>
  <c r="S22" i="6"/>
  <c r="S29" i="6"/>
  <c r="S30" i="6"/>
  <c r="S32" i="6"/>
  <c r="S41" i="6"/>
  <c r="AU41" i="6" s="1"/>
  <c r="T41" i="6"/>
  <c r="AH41" i="6" s="1"/>
  <c r="T14" i="6"/>
  <c r="AH14" i="6" s="1"/>
  <c r="S14" i="6"/>
  <c r="AU14" i="6" s="1"/>
  <c r="T21" i="6"/>
  <c r="AH21" i="6" s="1"/>
  <c r="AR21" i="6" s="1"/>
  <c r="AS21" i="6" s="1"/>
  <c r="T31" i="6"/>
  <c r="AH31" i="6" s="1"/>
  <c r="AR31" i="6" s="1"/>
  <c r="AS31" i="6" s="1"/>
  <c r="S46" i="6"/>
  <c r="S47" i="6"/>
  <c r="T48" i="6"/>
  <c r="AH48" i="6" s="1"/>
  <c r="S48" i="6"/>
  <c r="AU48" i="6" s="1"/>
  <c r="S38" i="6"/>
  <c r="S45" i="6"/>
  <c r="S33" i="6"/>
  <c r="AU33" i="6" s="1"/>
  <c r="T33" i="6"/>
  <c r="AH33" i="6" s="1"/>
  <c r="T5" i="6"/>
  <c r="AH5" i="6" s="1"/>
  <c r="S5" i="6"/>
  <c r="S37" i="6"/>
  <c r="AU37" i="6" s="1"/>
  <c r="S39" i="6"/>
  <c r="AU39" i="6" s="1"/>
  <c r="AX39" i="6" s="1"/>
  <c r="AZ39" i="6" s="1"/>
  <c r="S40" i="6"/>
  <c r="S13" i="6"/>
  <c r="S34" i="6"/>
  <c r="S42" i="6"/>
  <c r="T49" i="6"/>
  <c r="AH49" i="6" s="1"/>
  <c r="AR49" i="6" s="1"/>
  <c r="AS49" i="6" s="1"/>
  <c r="S50" i="6"/>
  <c r="AU50" i="6" s="1"/>
  <c r="S6" i="6"/>
  <c r="S15" i="6"/>
  <c r="S26" i="6"/>
  <c r="AX26" i="2"/>
  <c r="AZ26" i="2" s="1"/>
  <c r="AX24" i="2"/>
  <c r="AZ24" i="2" s="1"/>
  <c r="AX101" i="2"/>
  <c r="AZ101" i="2" s="1"/>
  <c r="S21" i="2"/>
  <c r="AU21" i="2" s="1"/>
  <c r="AX21" i="2" s="1"/>
  <c r="T16" i="2"/>
  <c r="AH16" i="2" s="1"/>
  <c r="AR16" i="2" s="1"/>
  <c r="AS16" i="2" s="1"/>
  <c r="T32" i="2"/>
  <c r="AH32" i="2" s="1"/>
  <c r="AR32" i="2" s="1"/>
  <c r="AS32" i="2" s="1"/>
  <c r="S9" i="2"/>
  <c r="AU9" i="2" s="1"/>
  <c r="S14" i="2"/>
  <c r="AU14" i="2" s="1"/>
  <c r="AX7" i="2"/>
  <c r="AZ7" i="2" s="1"/>
  <c r="S11" i="2"/>
  <c r="AU11" i="2" s="1"/>
  <c r="AX66" i="2"/>
  <c r="AZ66" i="2" s="1"/>
  <c r="AW5" i="2"/>
  <c r="AX5" i="2" s="1"/>
  <c r="AW33" i="2"/>
  <c r="AX33" i="2" s="1"/>
  <c r="S39" i="2"/>
  <c r="AU39" i="2" s="1"/>
  <c r="AX59" i="2"/>
  <c r="AZ59" i="2" s="1"/>
  <c r="S18" i="2"/>
  <c r="AU18" i="2" s="1"/>
  <c r="AX19" i="2"/>
  <c r="AZ19" i="2" s="1"/>
  <c r="AR20" i="2"/>
  <c r="AS20" i="2" s="1"/>
  <c r="S54" i="2"/>
  <c r="AU54" i="2" s="1"/>
  <c r="AX15" i="2"/>
  <c r="AZ15" i="2" s="1"/>
  <c r="AH36" i="2"/>
  <c r="AH52" i="2"/>
  <c r="AX37" i="2"/>
  <c r="AZ37" i="2" s="1"/>
  <c r="AX82" i="2"/>
  <c r="AZ82" i="2" s="1"/>
  <c r="AR87" i="2"/>
  <c r="AS87" i="2" s="1"/>
  <c r="T4" i="2"/>
  <c r="S38" i="2"/>
  <c r="AU38" i="2" s="1"/>
  <c r="AX20" i="2"/>
  <c r="AZ20" i="2" s="1"/>
  <c r="S22" i="2"/>
  <c r="AU22" i="2" s="1"/>
  <c r="AX12" i="2"/>
  <c r="AZ12" i="2" s="1"/>
  <c r="AH15" i="2"/>
  <c r="AR15" i="2" s="1"/>
  <c r="AS15" i="2" s="1"/>
  <c r="AX25" i="2"/>
  <c r="AZ25" i="2" s="1"/>
  <c r="T40" i="2"/>
  <c r="AH40" i="2" s="1"/>
  <c r="S40" i="2"/>
  <c r="AU40" i="2" s="1"/>
  <c r="AX55" i="2"/>
  <c r="AZ55" i="2" s="1"/>
  <c r="AH66" i="2"/>
  <c r="AR66" i="2" s="1"/>
  <c r="AS66" i="2" s="1"/>
  <c r="AX81" i="2"/>
  <c r="AZ81" i="2" s="1"/>
  <c r="AX78" i="2"/>
  <c r="AZ78" i="2" s="1"/>
  <c r="AR45" i="2"/>
  <c r="AS45" i="2" s="1"/>
  <c r="AX45" i="2"/>
  <c r="AZ45" i="2" s="1"/>
  <c r="AX77" i="2"/>
  <c r="AZ77" i="2" s="1"/>
  <c r="AX89" i="2"/>
  <c r="AZ89" i="2" s="1"/>
  <c r="AX28" i="2"/>
  <c r="AX43" i="2"/>
  <c r="AZ43" i="2" s="1"/>
  <c r="S69" i="2"/>
  <c r="AU69" i="2" s="1"/>
  <c r="AX70" i="2"/>
  <c r="AZ70" i="2" s="1"/>
  <c r="AX90" i="2"/>
  <c r="AR44" i="2"/>
  <c r="AS44" i="2" s="1"/>
  <c r="AH50" i="2"/>
  <c r="AR50" i="2" s="1"/>
  <c r="AS50" i="2" s="1"/>
  <c r="S74" i="2"/>
  <c r="AU74" i="2" s="1"/>
  <c r="T74" i="2"/>
  <c r="AH74" i="2" s="1"/>
  <c r="AH96" i="2"/>
  <c r="AR96" i="2" s="1"/>
  <c r="AS96" i="2" s="1"/>
  <c r="T56" i="2"/>
  <c r="AH56" i="2" s="1"/>
  <c r="S56" i="2"/>
  <c r="AU56" i="2" s="1"/>
  <c r="AX91" i="2"/>
  <c r="AZ91" i="2" s="1"/>
  <c r="AH63" i="2"/>
  <c r="AX86" i="2"/>
  <c r="AZ86" i="2" s="1"/>
  <c r="AR84" i="2"/>
  <c r="AS84" i="2" s="1"/>
  <c r="AH76" i="2"/>
  <c r="AH86" i="2"/>
  <c r="AR86" i="2" s="1"/>
  <c r="AS86" i="2" s="1"/>
  <c r="AH51" i="2"/>
  <c r="AX68" i="2"/>
  <c r="AR78" i="2"/>
  <c r="AS78" i="2" s="1"/>
  <c r="AX100" i="2"/>
  <c r="AZ100" i="2" s="1"/>
  <c r="AX98" i="2"/>
  <c r="AZ98" i="2" s="1"/>
  <c r="AR40" i="1"/>
  <c r="AS40" i="1" s="1"/>
  <c r="AR6" i="1"/>
  <c r="AS6" i="1" s="1"/>
  <c r="AR67" i="1"/>
  <c r="AS67" i="1" s="1"/>
  <c r="AR37" i="1"/>
  <c r="AS37" i="1" s="1"/>
  <c r="AX37" i="1"/>
  <c r="AZ37" i="1" s="1"/>
  <c r="AR88" i="1"/>
  <c r="AS88" i="1" s="1"/>
  <c r="AX88" i="1"/>
  <c r="AZ88" i="1" s="1"/>
  <c r="S65" i="1"/>
  <c r="AU65" i="1" s="1"/>
  <c r="S30" i="1"/>
  <c r="AU30" i="1" s="1"/>
  <c r="S8" i="1"/>
  <c r="AU8" i="1" s="1"/>
  <c r="S12" i="1"/>
  <c r="AU12" i="1" s="1"/>
  <c r="T17" i="1"/>
  <c r="AH17" i="1" s="1"/>
  <c r="AR17" i="1" s="1"/>
  <c r="AS17" i="1" s="1"/>
  <c r="S28" i="1"/>
  <c r="AU28" i="1" s="1"/>
  <c r="S47" i="1"/>
  <c r="AU47" i="1" s="1"/>
  <c r="T47" i="1"/>
  <c r="AH47" i="1" s="1"/>
  <c r="S10" i="1"/>
  <c r="AU10" i="1" s="1"/>
  <c r="S18" i="1"/>
  <c r="AU18" i="1" s="1"/>
  <c r="AX18" i="1" s="1"/>
  <c r="AZ18" i="1" s="1"/>
  <c r="S61" i="1"/>
  <c r="AU61" i="1" s="1"/>
  <c r="S81" i="1"/>
  <c r="AU81" i="1" s="1"/>
  <c r="AX81" i="1" s="1"/>
  <c r="AZ81" i="1" s="1"/>
  <c r="S85" i="1"/>
  <c r="AU85" i="1" s="1"/>
  <c r="T32" i="1"/>
  <c r="AH32" i="1" s="1"/>
  <c r="S32" i="1"/>
  <c r="AU32" i="1" s="1"/>
  <c r="S33" i="1"/>
  <c r="AU33" i="1" s="1"/>
  <c r="S80" i="1"/>
  <c r="AU80" i="1" s="1"/>
  <c r="AX14" i="1"/>
  <c r="AZ14" i="1" s="1"/>
  <c r="AR20" i="1"/>
  <c r="AS20" i="1" s="1"/>
  <c r="S57" i="1"/>
  <c r="AU57" i="1" s="1"/>
  <c r="AR92" i="1"/>
  <c r="AS92" i="1" s="1"/>
  <c r="T15" i="1"/>
  <c r="AH15" i="1" s="1"/>
  <c r="S15" i="1"/>
  <c r="AU15" i="1" s="1"/>
  <c r="S22" i="1"/>
  <c r="AU22" i="1" s="1"/>
  <c r="S5" i="1"/>
  <c r="AU5" i="1" s="1"/>
  <c r="AX5" i="1" s="1"/>
  <c r="AZ5" i="1" s="1"/>
  <c r="S7" i="1"/>
  <c r="AU7" i="1" s="1"/>
  <c r="AR14" i="1"/>
  <c r="AS14" i="1" s="1"/>
  <c r="AR95" i="1"/>
  <c r="AS95" i="1" s="1"/>
  <c r="S99" i="1"/>
  <c r="AU99" i="1" s="1"/>
  <c r="T99" i="1"/>
  <c r="AH99" i="1" s="1"/>
  <c r="S39" i="1"/>
  <c r="AU39" i="1" s="1"/>
  <c r="AX44" i="1"/>
  <c r="AR72" i="1"/>
  <c r="AS72" i="1" s="1"/>
  <c r="S46" i="1"/>
  <c r="AU46" i="1" s="1"/>
  <c r="AX46" i="1" s="1"/>
  <c r="AZ46" i="1" s="1"/>
  <c r="S23" i="1"/>
  <c r="AU23" i="1" s="1"/>
  <c r="AX23" i="1" s="1"/>
  <c r="AZ23" i="1" s="1"/>
  <c r="S29" i="1"/>
  <c r="AU29" i="1" s="1"/>
  <c r="AX29" i="1" s="1"/>
  <c r="AZ29" i="1" s="1"/>
  <c r="S42" i="1"/>
  <c r="AU42" i="1" s="1"/>
  <c r="AR84" i="1"/>
  <c r="AS84" i="1" s="1"/>
  <c r="S13" i="1"/>
  <c r="AU13" i="1" s="1"/>
  <c r="AX13" i="1" s="1"/>
  <c r="AZ13" i="1" s="1"/>
  <c r="T51" i="1"/>
  <c r="AH51" i="1" s="1"/>
  <c r="AR51" i="1" s="1"/>
  <c r="AS51" i="1" s="1"/>
  <c r="AX95" i="1"/>
  <c r="AZ95" i="1" s="1"/>
  <c r="T98" i="1"/>
  <c r="AH98" i="1" s="1"/>
  <c r="S98" i="1"/>
  <c r="AU98" i="1" s="1"/>
  <c r="AX98" i="1" s="1"/>
  <c r="AZ98" i="1" s="1"/>
  <c r="S21" i="1"/>
  <c r="AU21" i="1" s="1"/>
  <c r="T36" i="1"/>
  <c r="AH36" i="1" s="1"/>
  <c r="AR36" i="1" s="1"/>
  <c r="AS36" i="1" s="1"/>
  <c r="S38" i="1"/>
  <c r="AU38" i="1" s="1"/>
  <c r="AR41" i="1"/>
  <c r="AS41" i="1" s="1"/>
  <c r="AR52" i="1"/>
  <c r="AS52" i="1" s="1"/>
  <c r="S70" i="1"/>
  <c r="AU70" i="1" s="1"/>
  <c r="AX70" i="1" s="1"/>
  <c r="AX84" i="1"/>
  <c r="AZ84" i="1" s="1"/>
  <c r="T94" i="1"/>
  <c r="AH94" i="1" s="1"/>
  <c r="S94" i="1"/>
  <c r="AU94" i="1" s="1"/>
  <c r="S27" i="1"/>
  <c r="AU27" i="1" s="1"/>
  <c r="S26" i="1"/>
  <c r="AU26" i="1" s="1"/>
  <c r="S45" i="1"/>
  <c r="AU45" i="1" s="1"/>
  <c r="S56" i="1"/>
  <c r="AU56" i="1" s="1"/>
  <c r="AX56" i="1" s="1"/>
  <c r="AZ56" i="1" s="1"/>
  <c r="S62" i="1"/>
  <c r="AU62" i="1" s="1"/>
  <c r="AX62" i="1" s="1"/>
  <c r="AZ62" i="1" s="1"/>
  <c r="AH66" i="1"/>
  <c r="S68" i="1"/>
  <c r="AU68" i="1" s="1"/>
  <c r="AX68" i="1" s="1"/>
  <c r="AZ68" i="1" s="1"/>
  <c r="S78" i="1"/>
  <c r="AU78" i="1" s="1"/>
  <c r="S83" i="1"/>
  <c r="AU83" i="1" s="1"/>
  <c r="AX83" i="1" s="1"/>
  <c r="AZ83" i="1" s="1"/>
  <c r="S87" i="1"/>
  <c r="AU87" i="1" s="1"/>
  <c r="AR100" i="1"/>
  <c r="AS100" i="1" s="1"/>
  <c r="T58" i="1"/>
  <c r="AH58" i="1" s="1"/>
  <c r="S58" i="1"/>
  <c r="AU58" i="1" s="1"/>
  <c r="AX58" i="1" s="1"/>
  <c r="AZ58" i="1" s="1"/>
  <c r="S31" i="1"/>
  <c r="AU31" i="1" s="1"/>
  <c r="AX31" i="1" s="1"/>
  <c r="AZ31" i="1" s="1"/>
  <c r="S66" i="1"/>
  <c r="AU66" i="1" s="1"/>
  <c r="S79" i="1"/>
  <c r="AU79" i="1" s="1"/>
  <c r="AX79" i="1" s="1"/>
  <c r="AZ79" i="1" s="1"/>
  <c r="S73" i="1"/>
  <c r="AU73" i="1" s="1"/>
  <c r="S74" i="1"/>
  <c r="AU74" i="1" s="1"/>
  <c r="S75" i="1"/>
  <c r="AU75" i="1" s="1"/>
  <c r="S76" i="1"/>
  <c r="AU76" i="1" s="1"/>
  <c r="AX76" i="1" s="1"/>
  <c r="AZ76" i="1" s="1"/>
  <c r="AY53" i="6" l="1"/>
  <c r="AY31" i="6"/>
  <c r="AU101" i="1"/>
  <c r="AR81" i="5"/>
  <c r="AS81" i="5" s="1"/>
  <c r="AN95" i="5"/>
  <c r="AY27" i="6"/>
  <c r="AY12" i="6"/>
  <c r="AY49" i="6"/>
  <c r="AY44" i="6"/>
  <c r="S95" i="5"/>
  <c r="AY52" i="6"/>
  <c r="AY18" i="6"/>
  <c r="AY90" i="1"/>
  <c r="AY54" i="5"/>
  <c r="AY41" i="1"/>
  <c r="AR95" i="2"/>
  <c r="AS95" i="2" s="1"/>
  <c r="AY63" i="1"/>
  <c r="AY50" i="2"/>
  <c r="AY72" i="1"/>
  <c r="AY69" i="1"/>
  <c r="AY93" i="1"/>
  <c r="AY9" i="1"/>
  <c r="AY43" i="1"/>
  <c r="AY35" i="1"/>
  <c r="AY8" i="6"/>
  <c r="AY9" i="6"/>
  <c r="AY16" i="6"/>
  <c r="AR46" i="6"/>
  <c r="AS46" i="6" s="1"/>
  <c r="AU46" i="6"/>
  <c r="AR32" i="6"/>
  <c r="AS32" i="6" s="1"/>
  <c r="AU32" i="6"/>
  <c r="AR30" i="6"/>
  <c r="AS30" i="6" s="1"/>
  <c r="AU30" i="6"/>
  <c r="AR40" i="6"/>
  <c r="AS40" i="6" s="1"/>
  <c r="AU40" i="6"/>
  <c r="AR38" i="6"/>
  <c r="AS38" i="6" s="1"/>
  <c r="AU38" i="6"/>
  <c r="AR20" i="6"/>
  <c r="AS20" i="6" s="1"/>
  <c r="AU20" i="6"/>
  <c r="AR51" i="6"/>
  <c r="AS51" i="6" s="1"/>
  <c r="AU51" i="6"/>
  <c r="AY35" i="6"/>
  <c r="AX37" i="6"/>
  <c r="AZ37" i="6" s="1"/>
  <c r="AX25" i="6"/>
  <c r="AZ25" i="6" s="1"/>
  <c r="AR17" i="6"/>
  <c r="AS17" i="6" s="1"/>
  <c r="AU17" i="6"/>
  <c r="AR42" i="6"/>
  <c r="AS42" i="6" s="1"/>
  <c r="AU42" i="6"/>
  <c r="AR5" i="6"/>
  <c r="AS5" i="6" s="1"/>
  <c r="AU5" i="6"/>
  <c r="AR47" i="6"/>
  <c r="AS47" i="6" s="1"/>
  <c r="AU47" i="6"/>
  <c r="AX41" i="6"/>
  <c r="AZ41" i="6" s="1"/>
  <c r="AY21" i="6"/>
  <c r="AY11" i="6"/>
  <c r="AY36" i="6"/>
  <c r="AY43" i="6"/>
  <c r="AR26" i="6"/>
  <c r="AS26" i="6" s="1"/>
  <c r="AU26" i="6"/>
  <c r="AX33" i="6"/>
  <c r="AZ33" i="6" s="1"/>
  <c r="AR29" i="6"/>
  <c r="AS29" i="6" s="1"/>
  <c r="AU29" i="6"/>
  <c r="AR15" i="6"/>
  <c r="AS15" i="6" s="1"/>
  <c r="AU15" i="6"/>
  <c r="AR13" i="6"/>
  <c r="AS13" i="6" s="1"/>
  <c r="AU13" i="6"/>
  <c r="AR45" i="6"/>
  <c r="AS45" i="6" s="1"/>
  <c r="AU45" i="6"/>
  <c r="AR22" i="6"/>
  <c r="AS22" i="6" s="1"/>
  <c r="AU22" i="6"/>
  <c r="AY28" i="6"/>
  <c r="AY7" i="6"/>
  <c r="AY19" i="6"/>
  <c r="AR34" i="6"/>
  <c r="AS34" i="6" s="1"/>
  <c r="AU34" i="6"/>
  <c r="AR6" i="6"/>
  <c r="AS6" i="6" s="1"/>
  <c r="AU6" i="6"/>
  <c r="AX14" i="6"/>
  <c r="AZ14" i="6" s="1"/>
  <c r="AU4" i="6"/>
  <c r="S54" i="6"/>
  <c r="AX50" i="6"/>
  <c r="AZ50" i="6" s="1"/>
  <c r="AY39" i="6"/>
  <c r="AX48" i="6"/>
  <c r="AZ48" i="6" s="1"/>
  <c r="AR24" i="6"/>
  <c r="AS24" i="6" s="1"/>
  <c r="AU24" i="6"/>
  <c r="AR27" i="2"/>
  <c r="AS27" i="2" s="1"/>
  <c r="AR80" i="2"/>
  <c r="AS80" i="2" s="1"/>
  <c r="AR47" i="2"/>
  <c r="AS47" i="2" s="1"/>
  <c r="AU53" i="2"/>
  <c r="AX53" i="2" s="1"/>
  <c r="AZ53" i="2" s="1"/>
  <c r="AU97" i="2"/>
  <c r="AX97" i="2" s="1"/>
  <c r="AU76" i="2"/>
  <c r="AX76" i="2" s="1"/>
  <c r="AZ76" i="2" s="1"/>
  <c r="AU80" i="2"/>
  <c r="AX80" i="2" s="1"/>
  <c r="AU31" i="2"/>
  <c r="AX31" i="2" s="1"/>
  <c r="AZ31" i="2" s="1"/>
  <c r="AU88" i="2"/>
  <c r="AX88" i="2" s="1"/>
  <c r="AR97" i="2"/>
  <c r="AS97" i="2" s="1"/>
  <c r="AU60" i="2"/>
  <c r="AX60" i="2" s="1"/>
  <c r="AZ60" i="2" s="1"/>
  <c r="AU36" i="2"/>
  <c r="AX36" i="2" s="1"/>
  <c r="AU67" i="2"/>
  <c r="AX67" i="2" s="1"/>
  <c r="AU48" i="2"/>
  <c r="AX48" i="2" s="1"/>
  <c r="AU93" i="2"/>
  <c r="AX93" i="2" s="1"/>
  <c r="AU71" i="2"/>
  <c r="AX71" i="2" s="1"/>
  <c r="AR79" i="2"/>
  <c r="AS79" i="2" s="1"/>
  <c r="AU79" i="2"/>
  <c r="AX79" i="2" s="1"/>
  <c r="AZ79" i="2" s="1"/>
  <c r="AU52" i="2"/>
  <c r="AX52" i="2" s="1"/>
  <c r="AU8" i="2"/>
  <c r="AX8" i="2" s="1"/>
  <c r="AZ8" i="2" s="1"/>
  <c r="AU27" i="2"/>
  <c r="AH76" i="5"/>
  <c r="AH95" i="5" s="1"/>
  <c r="AU76" i="5"/>
  <c r="AX76" i="5" s="1"/>
  <c r="AR82" i="5"/>
  <c r="AS82" i="5" s="1"/>
  <c r="AX6" i="5"/>
  <c r="AY6" i="5" s="1"/>
  <c r="AV95" i="5"/>
  <c r="AY24" i="1"/>
  <c r="AY11" i="1"/>
  <c r="AY53" i="1"/>
  <c r="AY51" i="1"/>
  <c r="AY36" i="1"/>
  <c r="AX32" i="1"/>
  <c r="AZ32" i="1" s="1"/>
  <c r="AX28" i="1"/>
  <c r="AZ28" i="1" s="1"/>
  <c r="AX73" i="1"/>
  <c r="AZ73" i="1" s="1"/>
  <c r="AY83" i="1"/>
  <c r="AX42" i="1"/>
  <c r="AZ42" i="1" s="1"/>
  <c r="AX99" i="1"/>
  <c r="AZ99" i="1" s="1"/>
  <c r="AX85" i="1"/>
  <c r="AZ85" i="1" s="1"/>
  <c r="AX91" i="1"/>
  <c r="AZ91" i="1" s="1"/>
  <c r="AX34" i="1"/>
  <c r="AZ34" i="1" s="1"/>
  <c r="AX38" i="1"/>
  <c r="AZ38" i="1" s="1"/>
  <c r="AY100" i="1"/>
  <c r="AY13" i="1"/>
  <c r="AX47" i="1"/>
  <c r="AZ47" i="1" s="1"/>
  <c r="AX26" i="1"/>
  <c r="AZ26" i="1" s="1"/>
  <c r="AY79" i="1"/>
  <c r="AX78" i="1"/>
  <c r="AZ78" i="1" s="1"/>
  <c r="AX94" i="1"/>
  <c r="AZ94" i="1" s="1"/>
  <c r="AY29" i="1"/>
  <c r="AX57" i="1"/>
  <c r="AZ57" i="1" s="1"/>
  <c r="AY81" i="1"/>
  <c r="AX12" i="1"/>
  <c r="AZ12" i="1" s="1"/>
  <c r="AY25" i="1"/>
  <c r="AX21" i="1"/>
  <c r="AZ21" i="1" s="1"/>
  <c r="AX74" i="1"/>
  <c r="AZ74" i="1" s="1"/>
  <c r="AY56" i="1"/>
  <c r="AX45" i="1"/>
  <c r="AZ45" i="1" s="1"/>
  <c r="AX39" i="1"/>
  <c r="AZ39" i="1" s="1"/>
  <c r="AX97" i="1"/>
  <c r="AZ97" i="1" s="1"/>
  <c r="AY23" i="1"/>
  <c r="AY60" i="1"/>
  <c r="AX16" i="1"/>
  <c r="AZ16" i="1" s="1"/>
  <c r="AX87" i="1"/>
  <c r="AZ87" i="1" s="1"/>
  <c r="AX66" i="1"/>
  <c r="AZ66" i="1" s="1"/>
  <c r="AY68" i="1"/>
  <c r="AY31" i="1"/>
  <c r="AY46" i="1"/>
  <c r="AY18" i="1"/>
  <c r="AX30" i="1"/>
  <c r="AZ30" i="1" s="1"/>
  <c r="AX55" i="1"/>
  <c r="AZ55" i="1" s="1"/>
  <c r="AX89" i="1"/>
  <c r="AZ89" i="1" s="1"/>
  <c r="AY64" i="1"/>
  <c r="AX82" i="1"/>
  <c r="AZ82" i="1" s="1"/>
  <c r="AX27" i="1"/>
  <c r="AZ27" i="1" s="1"/>
  <c r="AX33" i="1"/>
  <c r="AZ33" i="1" s="1"/>
  <c r="AY76" i="1"/>
  <c r="AX22" i="1"/>
  <c r="AZ22" i="1" s="1"/>
  <c r="AX75" i="1"/>
  <c r="AZ75" i="1" s="1"/>
  <c r="AX15" i="1"/>
  <c r="AZ15" i="1" s="1"/>
  <c r="AY48" i="1"/>
  <c r="AY98" i="1"/>
  <c r="AX61" i="1"/>
  <c r="AZ61" i="1" s="1"/>
  <c r="AX8" i="1"/>
  <c r="AZ8" i="1" s="1"/>
  <c r="AY58" i="1"/>
  <c r="AY62" i="1"/>
  <c r="AY5" i="1"/>
  <c r="AX80" i="1"/>
  <c r="AZ80" i="1" s="1"/>
  <c r="AX10" i="1"/>
  <c r="AZ10" i="1" s="1"/>
  <c r="AX65" i="1"/>
  <c r="AZ65" i="1" s="1"/>
  <c r="AX59" i="1"/>
  <c r="AZ59" i="1" s="1"/>
  <c r="AY67" i="1"/>
  <c r="AX7" i="1"/>
  <c r="AZ7" i="1" s="1"/>
  <c r="AY6" i="1"/>
  <c r="AY19" i="1"/>
  <c r="AY52" i="1"/>
  <c r="AY50" i="1"/>
  <c r="AY17" i="1"/>
  <c r="AY71" i="1"/>
  <c r="AR4" i="6"/>
  <c r="AH54" i="6"/>
  <c r="T54" i="6"/>
  <c r="AY61" i="2"/>
  <c r="AY81" i="5"/>
  <c r="AY84" i="5"/>
  <c r="AS6" i="5"/>
  <c r="AR55" i="1"/>
  <c r="AS55" i="1" s="1"/>
  <c r="AR91" i="1"/>
  <c r="AS91" i="1" s="1"/>
  <c r="AH4" i="1"/>
  <c r="AR4" i="1" s="1"/>
  <c r="AS4" i="1" s="1"/>
  <c r="T101" i="1"/>
  <c r="S101" i="1"/>
  <c r="AW103" i="2"/>
  <c r="AY66" i="2"/>
  <c r="AZ73" i="2"/>
  <c r="AY21" i="5"/>
  <c r="AY79" i="5"/>
  <c r="AH4" i="2"/>
  <c r="T103" i="2"/>
  <c r="AR52" i="2"/>
  <c r="AS52" i="2" s="1"/>
  <c r="AR31" i="2"/>
  <c r="AS31" i="2" s="1"/>
  <c r="AR36" i="2"/>
  <c r="AS36" i="2" s="1"/>
  <c r="AY30" i="2"/>
  <c r="AR23" i="2"/>
  <c r="AS23" i="2" s="1"/>
  <c r="S103" i="2"/>
  <c r="AR50" i="6"/>
  <c r="AS50" i="6" s="1"/>
  <c r="AR48" i="6"/>
  <c r="AS48" i="6" s="1"/>
  <c r="AR97" i="1"/>
  <c r="AS97" i="1" s="1"/>
  <c r="AY44" i="2"/>
  <c r="AY65" i="2"/>
  <c r="AR35" i="6"/>
  <c r="AS35" i="6" s="1"/>
  <c r="AY81" i="2"/>
  <c r="AR14" i="6"/>
  <c r="AS14" i="6" s="1"/>
  <c r="AY56" i="5"/>
  <c r="AR39" i="6"/>
  <c r="AS39" i="6" s="1"/>
  <c r="AR37" i="6"/>
  <c r="AS37" i="6" s="1"/>
  <c r="AY87" i="5"/>
  <c r="AY75" i="5"/>
  <c r="AY91" i="5"/>
  <c r="AY54" i="1"/>
  <c r="AR34" i="1"/>
  <c r="AS34" i="1" s="1"/>
  <c r="AR96" i="1"/>
  <c r="AS96" i="1" s="1"/>
  <c r="AR60" i="2"/>
  <c r="AS60" i="2" s="1"/>
  <c r="AY84" i="2"/>
  <c r="AY72" i="2"/>
  <c r="AR76" i="2"/>
  <c r="AS76" i="2" s="1"/>
  <c r="AR71" i="2"/>
  <c r="AS71" i="2" s="1"/>
  <c r="AY86" i="1"/>
  <c r="AY95" i="1"/>
  <c r="AR89" i="1"/>
  <c r="AS89" i="1" s="1"/>
  <c r="AR48" i="1"/>
  <c r="AS48" i="1" s="1"/>
  <c r="AR67" i="2"/>
  <c r="AS67" i="2" s="1"/>
  <c r="AY64" i="2"/>
  <c r="AY29" i="2"/>
  <c r="AR53" i="2"/>
  <c r="AS53" i="2" s="1"/>
  <c r="AX92" i="2"/>
  <c r="AZ92" i="2" s="1"/>
  <c r="AR92" i="2"/>
  <c r="AS92" i="2" s="1"/>
  <c r="AR48" i="2"/>
  <c r="AS48" i="2" s="1"/>
  <c r="AY58" i="2"/>
  <c r="AR51" i="2"/>
  <c r="AS51" i="2" s="1"/>
  <c r="AR63" i="2"/>
  <c r="AS63" i="2" s="1"/>
  <c r="AR88" i="2"/>
  <c r="AS88" i="2" s="1"/>
  <c r="AR93" i="2"/>
  <c r="AS93" i="2" s="1"/>
  <c r="AY96" i="2"/>
  <c r="AR10" i="2"/>
  <c r="AS10" i="2" s="1"/>
  <c r="AX10" i="2"/>
  <c r="AZ10" i="2" s="1"/>
  <c r="AR25" i="6"/>
  <c r="AS25" i="6" s="1"/>
  <c r="AY74" i="5"/>
  <c r="AY94" i="5"/>
  <c r="AY77" i="5"/>
  <c r="AY88" i="5"/>
  <c r="AY49" i="2"/>
  <c r="AY13" i="2"/>
  <c r="AY26" i="2"/>
  <c r="AY12" i="2"/>
  <c r="AY20" i="2"/>
  <c r="AR60" i="1"/>
  <c r="AS60" i="1" s="1"/>
  <c r="AY14" i="1"/>
  <c r="AY77" i="1"/>
  <c r="AR82" i="1"/>
  <c r="AS82" i="1" s="1"/>
  <c r="AY49" i="1"/>
  <c r="AR59" i="1"/>
  <c r="AS59" i="1" s="1"/>
  <c r="AR64" i="1"/>
  <c r="AS64" i="1" s="1"/>
  <c r="AR16" i="1"/>
  <c r="AS16" i="1" s="1"/>
  <c r="AY62" i="5"/>
  <c r="AY83" i="5"/>
  <c r="AY71" i="5"/>
  <c r="AY86" i="5"/>
  <c r="AX78" i="5"/>
  <c r="AZ78" i="5" s="1"/>
  <c r="AY82" i="5"/>
  <c r="AR85" i="5"/>
  <c r="AS85" i="5" s="1"/>
  <c r="AR80" i="5"/>
  <c r="AS80" i="5" s="1"/>
  <c r="AZ69" i="5"/>
  <c r="AY69" i="5"/>
  <c r="AY90" i="5"/>
  <c r="AR41" i="6"/>
  <c r="AS41" i="6" s="1"/>
  <c r="AR33" i="6"/>
  <c r="AS33" i="6" s="1"/>
  <c r="AZ33" i="2"/>
  <c r="AY33" i="2"/>
  <c r="AZ5" i="2"/>
  <c r="AY5" i="2"/>
  <c r="AY86" i="2"/>
  <c r="AY45" i="2"/>
  <c r="AR11" i="2"/>
  <c r="AS11" i="2" s="1"/>
  <c r="AX75" i="2"/>
  <c r="AZ75" i="2" s="1"/>
  <c r="AR56" i="2"/>
  <c r="AS56" i="2" s="1"/>
  <c r="AR38" i="2"/>
  <c r="AS38" i="2" s="1"/>
  <c r="AR39" i="2"/>
  <c r="AS39" i="2" s="1"/>
  <c r="AR54" i="2"/>
  <c r="AS54" i="2" s="1"/>
  <c r="AR18" i="2"/>
  <c r="AS18" i="2" s="1"/>
  <c r="AY43" i="2"/>
  <c r="AY55" i="2"/>
  <c r="AZ68" i="2"/>
  <c r="AY68" i="2"/>
  <c r="AR69" i="2"/>
  <c r="AS69" i="2" s="1"/>
  <c r="AX34" i="2"/>
  <c r="AZ34" i="2" s="1"/>
  <c r="AY78" i="2"/>
  <c r="AY24" i="2"/>
  <c r="AR14" i="2"/>
  <c r="AS14" i="2" s="1"/>
  <c r="AR21" i="2"/>
  <c r="AS21" i="2" s="1"/>
  <c r="AX23" i="2"/>
  <c r="AZ23" i="2" s="1"/>
  <c r="AX57" i="2"/>
  <c r="AZ57" i="2" s="1"/>
  <c r="AX46" i="2"/>
  <c r="AZ46" i="2" s="1"/>
  <c r="AR40" i="2"/>
  <c r="AS40" i="2" s="1"/>
  <c r="AX83" i="2"/>
  <c r="AZ83" i="2" s="1"/>
  <c r="AY70" i="2"/>
  <c r="AY15" i="2"/>
  <c r="AY100" i="2"/>
  <c r="AX6" i="2"/>
  <c r="AZ6" i="2" s="1"/>
  <c r="AX47" i="2"/>
  <c r="AZ47" i="2" s="1"/>
  <c r="AX95" i="2"/>
  <c r="AZ95" i="2" s="1"/>
  <c r="AY77" i="2"/>
  <c r="AX51" i="2"/>
  <c r="AZ51" i="2" s="1"/>
  <c r="AR22" i="2"/>
  <c r="AS22" i="2" s="1"/>
  <c r="AX63" i="2"/>
  <c r="AZ63" i="2" s="1"/>
  <c r="AY59" i="2"/>
  <c r="AX17" i="2"/>
  <c r="AZ17" i="2" s="1"/>
  <c r="AR9" i="2"/>
  <c r="AS9" i="2" s="1"/>
  <c r="AY19" i="2"/>
  <c r="AX32" i="2"/>
  <c r="AZ32" i="2" s="1"/>
  <c r="AY25" i="2"/>
  <c r="AY90" i="2"/>
  <c r="AZ90" i="2"/>
  <c r="AY28" i="2"/>
  <c r="AZ28" i="2"/>
  <c r="AX35" i="2"/>
  <c r="AZ35" i="2" s="1"/>
  <c r="AY82" i="2"/>
  <c r="AX62" i="2"/>
  <c r="AZ62" i="2" s="1"/>
  <c r="AY7" i="2"/>
  <c r="AY89" i="2"/>
  <c r="AY98" i="2"/>
  <c r="AX102" i="2"/>
  <c r="AZ102" i="2" s="1"/>
  <c r="AX94" i="2"/>
  <c r="AZ94" i="2" s="1"/>
  <c r="AY91" i="2"/>
  <c r="AR74" i="2"/>
  <c r="AS74" i="2" s="1"/>
  <c r="AX85" i="2"/>
  <c r="AZ85" i="2" s="1"/>
  <c r="AX87" i="2"/>
  <c r="AZ87" i="2" s="1"/>
  <c r="AY37" i="2"/>
  <c r="AX41" i="2"/>
  <c r="AZ41" i="2" s="1"/>
  <c r="AY101" i="2"/>
  <c r="AX16" i="2"/>
  <c r="AZ16" i="2" s="1"/>
  <c r="AR45" i="1"/>
  <c r="AS45" i="1" s="1"/>
  <c r="AR98" i="1"/>
  <c r="AS98" i="1" s="1"/>
  <c r="AR42" i="1"/>
  <c r="AS42" i="1" s="1"/>
  <c r="AR39" i="1"/>
  <c r="AS39" i="1" s="1"/>
  <c r="AX92" i="1"/>
  <c r="AZ92" i="1" s="1"/>
  <c r="AR13" i="1"/>
  <c r="AS13" i="1" s="1"/>
  <c r="AR7" i="1"/>
  <c r="AS7" i="1" s="1"/>
  <c r="AR29" i="1"/>
  <c r="AS29" i="1" s="1"/>
  <c r="AR10" i="1"/>
  <c r="AS10" i="1" s="1"/>
  <c r="AR94" i="1"/>
  <c r="AS94" i="1" s="1"/>
  <c r="AR38" i="1"/>
  <c r="AS38" i="1" s="1"/>
  <c r="AR23" i="1"/>
  <c r="AS23" i="1" s="1"/>
  <c r="AR30" i="1"/>
  <c r="AS30" i="1" s="1"/>
  <c r="AR85" i="1"/>
  <c r="AR73" i="1"/>
  <c r="AS73" i="1" s="1"/>
  <c r="AR87" i="1"/>
  <c r="AS87" i="1" s="1"/>
  <c r="AR21" i="1"/>
  <c r="AS21" i="1" s="1"/>
  <c r="AX20" i="1"/>
  <c r="AZ20" i="1" s="1"/>
  <c r="AR81" i="1"/>
  <c r="AS81" i="1" s="1"/>
  <c r="AR47" i="1"/>
  <c r="AS47" i="1" s="1"/>
  <c r="AR65" i="1"/>
  <c r="AS65" i="1" s="1"/>
  <c r="AY88" i="1"/>
  <c r="AR58" i="1"/>
  <c r="AS58" i="1" s="1"/>
  <c r="AR26" i="1"/>
  <c r="AS26" i="1" s="1"/>
  <c r="AR99" i="1"/>
  <c r="AS99" i="1" s="1"/>
  <c r="AR12" i="1"/>
  <c r="AS12" i="1" s="1"/>
  <c r="AR78" i="1"/>
  <c r="AS78" i="1" s="1"/>
  <c r="AR27" i="1"/>
  <c r="AS27" i="1" s="1"/>
  <c r="AR5" i="1"/>
  <c r="AS5" i="1" s="1"/>
  <c r="AR75" i="1"/>
  <c r="AS75" i="1" s="1"/>
  <c r="AR68" i="1"/>
  <c r="AS68" i="1" s="1"/>
  <c r="AR70" i="1"/>
  <c r="AS70" i="1" s="1"/>
  <c r="AR74" i="1"/>
  <c r="AS74" i="1" s="1"/>
  <c r="AR79" i="1"/>
  <c r="AS79" i="1" s="1"/>
  <c r="AR62" i="1"/>
  <c r="AS62" i="1" s="1"/>
  <c r="AR46" i="1"/>
  <c r="AS46" i="1" s="1"/>
  <c r="AR15" i="1"/>
  <c r="AS15" i="1" s="1"/>
  <c r="AR80" i="1"/>
  <c r="AS80" i="1" s="1"/>
  <c r="AR33" i="1"/>
  <c r="AS33" i="1" s="1"/>
  <c r="AR61" i="1"/>
  <c r="AS61" i="1" s="1"/>
  <c r="AY37" i="1"/>
  <c r="AX40" i="1"/>
  <c r="AZ40" i="1" s="1"/>
  <c r="AR83" i="1"/>
  <c r="AS83" i="1" s="1"/>
  <c r="AR18" i="1"/>
  <c r="AS18" i="1" s="1"/>
  <c r="AR76" i="1"/>
  <c r="AS76" i="1" s="1"/>
  <c r="AR8" i="1"/>
  <c r="AS8" i="1" s="1"/>
  <c r="AR66" i="1"/>
  <c r="AS66" i="1" s="1"/>
  <c r="AR22" i="1"/>
  <c r="AS22" i="1" s="1"/>
  <c r="AR31" i="1"/>
  <c r="AS31" i="1" s="1"/>
  <c r="AY84" i="1"/>
  <c r="AR56" i="1"/>
  <c r="AS56" i="1" s="1"/>
  <c r="AR57" i="1"/>
  <c r="AS57" i="1" s="1"/>
  <c r="AR32" i="1"/>
  <c r="AS32" i="1" s="1"/>
  <c r="AR28" i="1"/>
  <c r="AS28" i="1" s="1"/>
  <c r="AU54" i="6" l="1"/>
  <c r="AY4" i="1"/>
  <c r="AX101" i="1"/>
  <c r="AY37" i="6"/>
  <c r="AY33" i="6"/>
  <c r="AY41" i="6"/>
  <c r="AY50" i="6"/>
  <c r="AY28" i="1"/>
  <c r="AU95" i="5"/>
  <c r="AZ6" i="5"/>
  <c r="AZ4" i="1"/>
  <c r="AY79" i="2"/>
  <c r="AY99" i="1"/>
  <c r="AY97" i="1"/>
  <c r="AY65" i="1"/>
  <c r="AY85" i="1"/>
  <c r="AY59" i="1"/>
  <c r="AY22" i="1"/>
  <c r="AY33" i="1"/>
  <c r="AY8" i="1"/>
  <c r="AY30" i="1"/>
  <c r="AY78" i="1"/>
  <c r="AY73" i="1"/>
  <c r="AY82" i="1"/>
  <c r="AY66" i="1"/>
  <c r="AY14" i="6"/>
  <c r="AY48" i="6"/>
  <c r="AX4" i="6"/>
  <c r="AX15" i="6"/>
  <c r="AZ15" i="6" s="1"/>
  <c r="AX5" i="6"/>
  <c r="AZ5" i="6" s="1"/>
  <c r="AX29" i="6"/>
  <c r="AZ29" i="6" s="1"/>
  <c r="AX42" i="6"/>
  <c r="AZ42" i="6" s="1"/>
  <c r="AX6" i="6"/>
  <c r="AZ6" i="6" s="1"/>
  <c r="AX30" i="6"/>
  <c r="AZ30" i="6" s="1"/>
  <c r="AX45" i="6"/>
  <c r="AZ45" i="6" s="1"/>
  <c r="AX17" i="6"/>
  <c r="AZ17" i="6" s="1"/>
  <c r="AX20" i="6"/>
  <c r="AZ20" i="6" s="1"/>
  <c r="AX32" i="6"/>
  <c r="AZ32" i="6" s="1"/>
  <c r="AX13" i="6"/>
  <c r="AZ13" i="6" s="1"/>
  <c r="AX26" i="6"/>
  <c r="AZ26" i="6" s="1"/>
  <c r="AX47" i="6"/>
  <c r="AZ47" i="6" s="1"/>
  <c r="AY25" i="6"/>
  <c r="AX24" i="6"/>
  <c r="AZ24" i="6" s="1"/>
  <c r="AX40" i="6"/>
  <c r="AZ40" i="6" s="1"/>
  <c r="AX22" i="6"/>
  <c r="AZ22" i="6" s="1"/>
  <c r="AX51" i="6"/>
  <c r="AZ51" i="6" s="1"/>
  <c r="AX34" i="6"/>
  <c r="AZ34" i="6" s="1"/>
  <c r="AX38" i="6"/>
  <c r="AZ38" i="6" s="1"/>
  <c r="AX46" i="6"/>
  <c r="AZ46" i="6" s="1"/>
  <c r="AZ93" i="2"/>
  <c r="AY93" i="2"/>
  <c r="AZ71" i="2"/>
  <c r="AY71" i="2"/>
  <c r="AZ88" i="2"/>
  <c r="AY88" i="2"/>
  <c r="AZ67" i="2"/>
  <c r="AY67" i="2"/>
  <c r="AZ80" i="2"/>
  <c r="AY80" i="2"/>
  <c r="AZ36" i="2"/>
  <c r="AY36" i="2"/>
  <c r="AZ52" i="2"/>
  <c r="AY52" i="2"/>
  <c r="AZ97" i="2"/>
  <c r="AY97" i="2"/>
  <c r="AZ48" i="2"/>
  <c r="AY48" i="2"/>
  <c r="AY53" i="2"/>
  <c r="AX27" i="2"/>
  <c r="AZ27" i="2" s="1"/>
  <c r="AY60" i="2"/>
  <c r="AY8" i="2"/>
  <c r="AY31" i="2"/>
  <c r="AY76" i="2"/>
  <c r="AR76" i="5"/>
  <c r="AS76" i="5" s="1"/>
  <c r="AS95" i="5" s="1"/>
  <c r="AZ76" i="5"/>
  <c r="AY76" i="5"/>
  <c r="AY57" i="1"/>
  <c r="AY75" i="1"/>
  <c r="AY10" i="1"/>
  <c r="AY61" i="1"/>
  <c r="AY55" i="1"/>
  <c r="AY12" i="1"/>
  <c r="AY91" i="1"/>
  <c r="AY45" i="1"/>
  <c r="AY7" i="1"/>
  <c r="AY80" i="1"/>
  <c r="AY89" i="1"/>
  <c r="AY26" i="1"/>
  <c r="AY34" i="1"/>
  <c r="AY42" i="1"/>
  <c r="AY38" i="1"/>
  <c r="AY87" i="1"/>
  <c r="AY21" i="1"/>
  <c r="AY74" i="1"/>
  <c r="AY27" i="1"/>
  <c r="AY16" i="1"/>
  <c r="AY15" i="1"/>
  <c r="AY39" i="1"/>
  <c r="AY94" i="1"/>
  <c r="AY47" i="1"/>
  <c r="AY32" i="1"/>
  <c r="AY34" i="2"/>
  <c r="AS4" i="6"/>
  <c r="AS54" i="6" s="1"/>
  <c r="AR54" i="6"/>
  <c r="AH101" i="1"/>
  <c r="AS85" i="1"/>
  <c r="AS101" i="1" s="1"/>
  <c r="AR101" i="1"/>
  <c r="AY51" i="2"/>
  <c r="AU103" i="2"/>
  <c r="AX4" i="2"/>
  <c r="AY4" i="2" s="1"/>
  <c r="AR4" i="2"/>
  <c r="AH103" i="2"/>
  <c r="AY17" i="2"/>
  <c r="AY92" i="2"/>
  <c r="AY20" i="1"/>
  <c r="AY10" i="2"/>
  <c r="AY78" i="5"/>
  <c r="AY63" i="2"/>
  <c r="AY85" i="2"/>
  <c r="AY87" i="2"/>
  <c r="AY94" i="2"/>
  <c r="AX85" i="5"/>
  <c r="AX80" i="5"/>
  <c r="AZ80" i="5" s="1"/>
  <c r="AY35" i="2"/>
  <c r="AX54" i="2"/>
  <c r="AZ54" i="2" s="1"/>
  <c r="AY102" i="2"/>
  <c r="AX14" i="2"/>
  <c r="AZ14" i="2" s="1"/>
  <c r="AX56" i="2"/>
  <c r="AZ56" i="2" s="1"/>
  <c r="AY83" i="2"/>
  <c r="AY6" i="2"/>
  <c r="AY23" i="2"/>
  <c r="AY62" i="2"/>
  <c r="AY47" i="2"/>
  <c r="AY75" i="2"/>
  <c r="AX40" i="2"/>
  <c r="AZ40" i="2" s="1"/>
  <c r="AY32" i="2"/>
  <c r="AY95" i="2"/>
  <c r="AY16" i="2"/>
  <c r="AX38" i="2"/>
  <c r="AZ38" i="2" s="1"/>
  <c r="AY57" i="2"/>
  <c r="AY46" i="2"/>
  <c r="AX9" i="2"/>
  <c r="AZ9" i="2" s="1"/>
  <c r="AX22" i="2"/>
  <c r="AZ22" i="2" s="1"/>
  <c r="AY41" i="2"/>
  <c r="AX74" i="2"/>
  <c r="AZ74" i="2" s="1"/>
  <c r="AX69" i="2"/>
  <c r="AZ69" i="2" s="1"/>
  <c r="AX18" i="2"/>
  <c r="AZ18" i="2" s="1"/>
  <c r="AX39" i="2"/>
  <c r="AZ39" i="2" s="1"/>
  <c r="AX11" i="2"/>
  <c r="AZ11" i="2" s="1"/>
  <c r="AY40" i="1"/>
  <c r="AY92" i="1"/>
  <c r="AZ4" i="6" l="1"/>
  <c r="AX54" i="6"/>
  <c r="AY45" i="6"/>
  <c r="AY24" i="6"/>
  <c r="AY34" i="6"/>
  <c r="AY22" i="6"/>
  <c r="AY13" i="6"/>
  <c r="AY29" i="6"/>
  <c r="AY4" i="6"/>
  <c r="AY46" i="6"/>
  <c r="AY32" i="6"/>
  <c r="AY6" i="6"/>
  <c r="AY20" i="6"/>
  <c r="AY30" i="6"/>
  <c r="AY5" i="6"/>
  <c r="AY51" i="6"/>
  <c r="AY47" i="6"/>
  <c r="AY15" i="6"/>
  <c r="AY26" i="6"/>
  <c r="AY17" i="6"/>
  <c r="AY42" i="6"/>
  <c r="AY38" i="6"/>
  <c r="AY40" i="6"/>
  <c r="AZ54" i="6"/>
  <c r="AY27" i="2"/>
  <c r="AR95" i="5"/>
  <c r="AZ85" i="5"/>
  <c r="AZ95" i="5" s="1"/>
  <c r="AX95" i="5"/>
  <c r="AZ101" i="1"/>
  <c r="AS4" i="2"/>
  <c r="AS103" i="2" s="1"/>
  <c r="AR103" i="2"/>
  <c r="AZ4" i="2"/>
  <c r="AZ103" i="2" s="1"/>
  <c r="AX103" i="2"/>
  <c r="AY18" i="2"/>
  <c r="AY85" i="5"/>
  <c r="AY74" i="2"/>
  <c r="AY9" i="2"/>
  <c r="AY80" i="5"/>
  <c r="AY69" i="2"/>
  <c r="AY40" i="2"/>
  <c r="AY56" i="2"/>
  <c r="AY11" i="2"/>
  <c r="AY14" i="2"/>
  <c r="AY38" i="2"/>
  <c r="AY39" i="2"/>
  <c r="AY22" i="2"/>
  <c r="AY54" i="2"/>
  <c r="AY95" i="5" l="1"/>
  <c r="AY54" i="6"/>
  <c r="AY101" i="1"/>
  <c r="AY103" i="2"/>
</calcChain>
</file>

<file path=xl/comments1.xml><?xml version="1.0" encoding="utf-8"?>
<comments xmlns="http://schemas.openxmlformats.org/spreadsheetml/2006/main">
  <authors>
    <author>Autor</author>
  </authors>
  <commentList>
    <comment ref="K3" authorId="0" shapeId="0">
      <text>
        <r>
          <rPr>
            <sz val="11"/>
            <color theme="1"/>
            <rFont val="Calibri"/>
            <family val="2"/>
            <scheme val="minor"/>
          </rPr>
          <t>======
ID#AAABj6YR1zA
Autor    (2025-05-20 15:51:52)
Poner ciclo
1er
2do
3er</t>
        </r>
      </text>
    </comment>
    <comment ref="V3" authorId="0" shapeId="0">
      <text>
        <r>
          <rPr>
            <sz val="11"/>
            <color theme="1"/>
            <rFont val="Calibri"/>
            <family val="2"/>
            <scheme val="minor"/>
          </rPr>
          <t>======
ID#AAABj6YR1zU
Autor    (2025-05-20 15:51:52)
Para prof. De 5° en adelante</t>
        </r>
      </text>
    </comment>
    <comment ref="W3" authorId="0" shapeId="0">
      <text>
        <r>
          <rPr>
            <sz val="11"/>
            <color theme="1"/>
            <rFont val="Calibri"/>
            <family val="2"/>
            <scheme val="minor"/>
          </rPr>
          <t>======
ID#AAABj6YR1zY
Autor    (2025-05-20 15:51:52)
Varía según el colegio</t>
        </r>
      </text>
    </comment>
    <comment ref="X3" authorId="0" shapeId="0">
      <text>
        <r>
          <rPr>
            <sz val="11"/>
            <color theme="1"/>
            <rFont val="Calibri"/>
            <family val="2"/>
            <scheme val="minor"/>
          </rPr>
          <t>======
ID#AAABj6YR1zc
Autor    (2025-05-20 15:51:52)
Horas de academia dentro de la jornada contratada</t>
        </r>
      </text>
    </comment>
    <comment ref="Y3" authorId="0" shapeId="0">
      <text>
        <r>
          <rPr>
            <sz val="11"/>
            <color theme="1"/>
            <rFont val="Calibri"/>
            <family val="2"/>
            <scheme val="minor"/>
          </rPr>
          <t>======
ID#AAABj6YR1zk
Autor    (2025-05-20 15:51:52)
Fuera del horario de clases</t>
        </r>
      </text>
    </comment>
    <comment ref="AB3" authorId="0" shapeId="0">
      <text>
        <r>
          <rPr>
            <sz val="11"/>
            <color theme="1"/>
            <rFont val="Calibri"/>
            <family val="2"/>
            <scheme val="minor"/>
          </rPr>
          <t>======
ID#AAABj6YR1zI
Autor    (2025-05-20 15:51:52)
Se acordó entre los colegios dejar como HNL</t>
        </r>
      </text>
    </comment>
    <comment ref="AJ45" authorId="0" shapeId="0">
      <text>
        <r>
          <rPr>
            <b/>
            <sz val="9"/>
            <color indexed="81"/>
            <rFont val="Tahoma"/>
            <family val="2"/>
          </rPr>
          <t>Estaba en coordinación</t>
        </r>
        <r>
          <rPr>
            <sz val="9"/>
            <color indexed="81"/>
            <rFont val="Tahoma"/>
            <family val="2"/>
          </rPr>
          <t xml:space="preserve">
</t>
        </r>
      </text>
    </comment>
  </commentList>
</comments>
</file>

<file path=xl/comments2.xml><?xml version="1.0" encoding="utf-8"?>
<comments xmlns="http://schemas.openxmlformats.org/spreadsheetml/2006/main">
  <authors>
    <author>Autor</author>
  </authors>
  <commentList>
    <comment ref="K3" authorId="0" shapeId="0">
      <text>
        <r>
          <rPr>
            <sz val="11"/>
            <color theme="1"/>
            <rFont val="Calibri"/>
            <family val="2"/>
            <scheme val="minor"/>
          </rPr>
          <t>======
ID#AAABj6YR1zA
Autor    (2025-05-20 15:51:52)
Poner ciclo
1er
2do
3er</t>
        </r>
      </text>
    </comment>
    <comment ref="V3" authorId="0" shapeId="0">
      <text>
        <r>
          <rPr>
            <sz val="11"/>
            <color theme="1"/>
            <rFont val="Calibri"/>
            <family val="2"/>
            <scheme val="minor"/>
          </rPr>
          <t>======
ID#AAABj6YR1zU
Autor    (2025-05-20 15:51:52)
Para prof. De 5° en adelante</t>
        </r>
      </text>
    </comment>
    <comment ref="W3" authorId="0" shapeId="0">
      <text>
        <r>
          <rPr>
            <sz val="11"/>
            <color theme="1"/>
            <rFont val="Calibri"/>
            <family val="2"/>
            <scheme val="minor"/>
          </rPr>
          <t>======
ID#AAABj6YR1zY
Autor    (2025-05-20 15:51:52)
Varía según el colegio</t>
        </r>
      </text>
    </comment>
    <comment ref="X3" authorId="0" shapeId="0">
      <text>
        <r>
          <rPr>
            <sz val="11"/>
            <color theme="1"/>
            <rFont val="Calibri"/>
            <family val="2"/>
            <scheme val="minor"/>
          </rPr>
          <t>======
ID#AAABj6YR1zc
Autor    (2025-05-20 15:51:52)
Horas de academia dentro de la jornada contratada</t>
        </r>
      </text>
    </comment>
    <comment ref="Y3" authorId="0" shapeId="0">
      <text>
        <r>
          <rPr>
            <sz val="11"/>
            <color theme="1"/>
            <rFont val="Calibri"/>
            <family val="2"/>
            <scheme val="minor"/>
          </rPr>
          <t>======
ID#AAABj6YR1zk
Autor    (2025-05-20 15:51:52)
Fuera del horario de clases</t>
        </r>
      </text>
    </comment>
    <comment ref="AB3" authorId="0" shapeId="0">
      <text>
        <r>
          <rPr>
            <sz val="11"/>
            <color theme="1"/>
            <rFont val="Calibri"/>
            <family val="2"/>
            <scheme val="minor"/>
          </rPr>
          <t>======
ID#AAABj6YR1zI
Autor    (2025-05-20 15:51:52)
Se acordó entre los colegios dejar como HNL</t>
        </r>
      </text>
    </comment>
  </commentList>
</comments>
</file>

<file path=xl/comments3.xml><?xml version="1.0" encoding="utf-8"?>
<comments xmlns="http://schemas.openxmlformats.org/spreadsheetml/2006/main">
  <authors>
    <author>Autor</author>
  </authors>
  <commentList>
    <comment ref="K3" authorId="0" shapeId="0">
      <text>
        <r>
          <rPr>
            <sz val="11"/>
            <color theme="1"/>
            <rFont val="Calibri"/>
            <family val="2"/>
            <scheme val="minor"/>
          </rPr>
          <t>======
ID#AAABj6YR1zA
Autor    (2025-05-20 15:51:52)
Poner ciclo
1er
2do
3er</t>
        </r>
      </text>
    </comment>
    <comment ref="V3" authorId="0" shapeId="0">
      <text>
        <r>
          <rPr>
            <sz val="11"/>
            <color theme="1"/>
            <rFont val="Calibri"/>
            <family val="2"/>
            <scheme val="minor"/>
          </rPr>
          <t>======
ID#AAABj6YR1zU
Autor    (2025-05-20 15:51:52)
Para prof. De 5° en adelante</t>
        </r>
      </text>
    </comment>
    <comment ref="W3" authorId="0" shapeId="0">
      <text>
        <r>
          <rPr>
            <sz val="11"/>
            <color theme="1"/>
            <rFont val="Calibri"/>
            <family val="2"/>
            <scheme val="minor"/>
          </rPr>
          <t>======
ID#AAABj6YR1zY
Autor    (2025-05-20 15:51:52)
Varía según el colegio</t>
        </r>
      </text>
    </comment>
    <comment ref="X3" authorId="0" shapeId="0">
      <text>
        <r>
          <rPr>
            <sz val="11"/>
            <color theme="1"/>
            <rFont val="Calibri"/>
            <family val="2"/>
            <scheme val="minor"/>
          </rPr>
          <t>======
ID#AAABj6YR1zc
Autor    (2025-05-20 15:51:52)
Horas de academia dentro de la jornada contratada</t>
        </r>
      </text>
    </comment>
    <comment ref="Y3" authorId="0" shapeId="0">
      <text>
        <r>
          <rPr>
            <sz val="11"/>
            <color theme="1"/>
            <rFont val="Calibri"/>
            <family val="2"/>
            <scheme val="minor"/>
          </rPr>
          <t>======
ID#AAABj6YR1zk
Autor    (2025-05-20 15:51:52)
Fuera del horario de clases</t>
        </r>
      </text>
    </comment>
    <comment ref="AB3" authorId="0" shapeId="0">
      <text>
        <r>
          <rPr>
            <sz val="11"/>
            <color theme="1"/>
            <rFont val="Calibri"/>
            <family val="2"/>
            <scheme val="minor"/>
          </rPr>
          <t>======
ID#AAABj6YR1zI
Autor    (2025-05-20 15:51:52)
Se acordó entre los colegios dejar como HNL</t>
        </r>
      </text>
    </comment>
    <comment ref="P11" authorId="0" shapeId="0">
      <text>
        <r>
          <rPr>
            <sz val="8"/>
            <color theme="1"/>
            <rFont val="Calibri"/>
            <family val="2"/>
            <scheme val="minor"/>
          </rPr>
          <t>Asignación en vez de hrs</t>
        </r>
      </text>
    </comment>
    <comment ref="T18" authorId="0" shapeId="0">
      <text>
        <r>
          <rPr>
            <b/>
            <sz val="9"/>
            <color indexed="81"/>
            <rFont val="Tahoma"/>
            <family val="2"/>
          </rPr>
          <t>1 menos</t>
        </r>
      </text>
    </comment>
    <comment ref="T19" authorId="0" shapeId="0">
      <text>
        <r>
          <rPr>
            <b/>
            <sz val="9"/>
            <color indexed="81"/>
            <rFont val="Tahoma"/>
            <family val="2"/>
          </rPr>
          <t>debe ser 13,8</t>
        </r>
        <r>
          <rPr>
            <sz val="9"/>
            <color indexed="81"/>
            <rFont val="Tahoma"/>
            <family val="2"/>
          </rPr>
          <t xml:space="preserve">
</t>
        </r>
      </text>
    </comment>
    <comment ref="T21" authorId="0" shapeId="0">
      <text>
        <r>
          <rPr>
            <b/>
            <sz val="9"/>
            <color indexed="81"/>
            <rFont val="Tahoma"/>
            <family val="2"/>
          </rPr>
          <t xml:space="preserve">3,6 + 0,5
</t>
        </r>
        <r>
          <rPr>
            <sz val="9"/>
            <color indexed="81"/>
            <rFont val="Tahoma"/>
            <family val="2"/>
          </rPr>
          <t xml:space="preserve">
</t>
        </r>
      </text>
    </comment>
    <comment ref="T27" authorId="0" shapeId="0">
      <text>
        <r>
          <rPr>
            <b/>
            <sz val="9"/>
            <color indexed="81"/>
            <rFont val="Tahoma"/>
            <family val="2"/>
          </rPr>
          <t>1,8</t>
        </r>
        <r>
          <rPr>
            <sz val="9"/>
            <color indexed="81"/>
            <rFont val="Tahoma"/>
            <family val="2"/>
          </rPr>
          <t xml:space="preserve">
</t>
        </r>
      </text>
    </comment>
    <comment ref="AF84" authorId="0" shapeId="0">
      <text>
        <r>
          <rPr>
            <sz val="11"/>
            <color theme="1"/>
            <rFont val="Calibri"/>
            <family val="2"/>
            <scheme val="minor"/>
          </rPr>
          <t xml:space="preserve">Asignación en vez de horas
</t>
        </r>
      </text>
    </comment>
  </commentList>
</comments>
</file>

<file path=xl/comments4.xml><?xml version="1.0" encoding="utf-8"?>
<comments xmlns="http://schemas.openxmlformats.org/spreadsheetml/2006/main">
  <authors>
    <author>Autor</author>
  </authors>
  <commentList>
    <comment ref="K3" authorId="0" shapeId="0">
      <text>
        <r>
          <rPr>
            <sz val="11"/>
            <color theme="1"/>
            <rFont val="Calibri"/>
            <family val="2"/>
            <scheme val="minor"/>
          </rPr>
          <t>======
ID#AAABj6YR1zA
Autor    (2025-05-20 15:51:52)
Poner ciclo
1er
2do
3er</t>
        </r>
      </text>
    </comment>
    <comment ref="V3" authorId="0" shapeId="0">
      <text>
        <r>
          <rPr>
            <sz val="11"/>
            <color theme="1"/>
            <rFont val="Calibri"/>
            <family val="2"/>
            <scheme val="minor"/>
          </rPr>
          <t>======
ID#AAABj6YR1zU
Autor    (2025-05-20 15:51:52)
Para prof. De 5° en adelante</t>
        </r>
      </text>
    </comment>
    <comment ref="W3" authorId="0" shapeId="0">
      <text>
        <r>
          <rPr>
            <sz val="11"/>
            <color theme="1"/>
            <rFont val="Calibri"/>
            <family val="2"/>
            <scheme val="minor"/>
          </rPr>
          <t>======
ID#AAABj6YR1zY
Autor    (2025-05-20 15:51:52)
Varía según el colegio</t>
        </r>
      </text>
    </comment>
    <comment ref="X3" authorId="0" shapeId="0">
      <text>
        <r>
          <rPr>
            <sz val="11"/>
            <color theme="1"/>
            <rFont val="Calibri"/>
            <family val="2"/>
            <scheme val="minor"/>
          </rPr>
          <t>======
ID#AAABj6YR1zc
Autor    (2025-05-20 15:51:52)
Horas de academia dentro de la jornada contratada</t>
        </r>
      </text>
    </comment>
    <comment ref="Y3" authorId="0" shapeId="0">
      <text>
        <r>
          <rPr>
            <sz val="11"/>
            <color theme="1"/>
            <rFont val="Calibri"/>
            <family val="2"/>
            <scheme val="minor"/>
          </rPr>
          <t>======
ID#AAABj6YR1zk
Autor    (2025-05-20 15:51:52)
Fuera del horario de clases</t>
        </r>
      </text>
    </comment>
    <comment ref="AB3" authorId="0" shapeId="0">
      <text>
        <r>
          <rPr>
            <sz val="11"/>
            <color theme="1"/>
            <rFont val="Calibri"/>
            <family val="2"/>
            <scheme val="minor"/>
          </rPr>
          <t>======
ID#AAABj6YR1zI
Autor    (2025-05-20 15:51:52)
Se acordó entre los colegios dejar como HNL</t>
        </r>
      </text>
    </comment>
  </commentList>
</comments>
</file>

<file path=xl/comments5.xml><?xml version="1.0" encoding="utf-8"?>
<comments xmlns="http://schemas.openxmlformats.org/spreadsheetml/2006/main">
  <authors>
    <author>Autor</author>
  </authors>
  <commentList>
    <comment ref="K3" authorId="0" shapeId="0">
      <text>
        <r>
          <rPr>
            <sz val="11"/>
            <color theme="1"/>
            <rFont val="Calibri"/>
            <family val="2"/>
            <scheme val="minor"/>
          </rPr>
          <t>======
ID#AAABj6YR1zA
Autor    (2025-05-20 15:51:52)
Poner ciclo
1er
2do
3er</t>
        </r>
      </text>
    </comment>
    <comment ref="V3" authorId="0" shapeId="0">
      <text>
        <r>
          <rPr>
            <sz val="11"/>
            <color theme="1"/>
            <rFont val="Calibri"/>
            <family val="2"/>
            <scheme val="minor"/>
          </rPr>
          <t>======
ID#AAABj6YR1zU
Autor    (2025-05-20 15:51:52)
Para prof. De 5° en adelante</t>
        </r>
      </text>
    </comment>
    <comment ref="W3" authorId="0" shapeId="0">
      <text>
        <r>
          <rPr>
            <sz val="11"/>
            <color theme="1"/>
            <rFont val="Calibri"/>
            <family val="2"/>
            <scheme val="minor"/>
          </rPr>
          <t>======
ID#AAABj6YR1zY
Autor    (2025-05-20 15:51:52)
Varía según el colegio</t>
        </r>
      </text>
    </comment>
    <comment ref="X3" authorId="0" shapeId="0">
      <text>
        <r>
          <rPr>
            <sz val="11"/>
            <color theme="1"/>
            <rFont val="Calibri"/>
            <family val="2"/>
            <scheme val="minor"/>
          </rPr>
          <t>======
ID#AAABj6YR1zc
Autor    (2025-05-20 15:51:52)
Horas de academia dentro de la jornada contratada</t>
        </r>
      </text>
    </comment>
    <comment ref="Y3" authorId="0" shapeId="0">
      <text>
        <r>
          <rPr>
            <sz val="11"/>
            <color theme="1"/>
            <rFont val="Calibri"/>
            <family val="2"/>
            <scheme val="minor"/>
          </rPr>
          <t>======
ID#AAABj6YR1zk
Autor    (2025-05-20 15:51:52)
Fuera del horario de clases</t>
        </r>
      </text>
    </comment>
    <comment ref="AB3" authorId="0" shapeId="0">
      <text>
        <r>
          <rPr>
            <sz val="11"/>
            <color theme="1"/>
            <rFont val="Calibri"/>
            <family val="2"/>
            <scheme val="minor"/>
          </rPr>
          <t>======
ID#AAABj6YR1zI
Autor    (2025-05-20 15:51:52)
Se acordó entre los colegios dejar como HNL</t>
        </r>
      </text>
    </comment>
    <comment ref="C12" authorId="0" shapeId="0">
      <text>
        <r>
          <rPr>
            <b/>
            <sz val="9"/>
            <color indexed="81"/>
            <rFont val="Tahoma"/>
            <family val="2"/>
          </rPr>
          <t xml:space="preserve">solo extrap
</t>
        </r>
        <r>
          <rPr>
            <sz val="9"/>
            <color indexed="81"/>
            <rFont val="Tahoma"/>
            <family val="2"/>
          </rPr>
          <t xml:space="preserve">
</t>
        </r>
      </text>
    </comment>
  </commentList>
</comments>
</file>

<file path=xl/comments6.xml><?xml version="1.0" encoding="utf-8"?>
<comments xmlns="http://schemas.openxmlformats.org/spreadsheetml/2006/main">
  <authors>
    <author>Autor</author>
  </authors>
  <commentList>
    <comment ref="K3" authorId="0" shapeId="0">
      <text>
        <r>
          <rPr>
            <sz val="11"/>
            <color theme="1"/>
            <rFont val="Calibri"/>
            <family val="2"/>
            <scheme val="minor"/>
          </rPr>
          <t>======
ID#AAABj6YR1zA
Autor    (2025-05-20 15:51:52)
Poner ciclo
1er
2do
3er</t>
        </r>
      </text>
    </comment>
    <comment ref="V3" authorId="0" shapeId="0">
      <text>
        <r>
          <rPr>
            <sz val="11"/>
            <color theme="1"/>
            <rFont val="Calibri"/>
            <family val="2"/>
            <scheme val="minor"/>
          </rPr>
          <t>======
ID#AAABj6YR1zU
Autor    (2025-05-20 15:51:52)
Para prof. De 5° en adelante</t>
        </r>
      </text>
    </comment>
    <comment ref="W3" authorId="0" shapeId="0">
      <text>
        <r>
          <rPr>
            <sz val="11"/>
            <color theme="1"/>
            <rFont val="Calibri"/>
            <family val="2"/>
            <scheme val="minor"/>
          </rPr>
          <t>======
ID#AAABj6YR1zY
Autor    (2025-05-20 15:51:52)
Varía según el colegio</t>
        </r>
      </text>
    </comment>
    <comment ref="X3" authorId="0" shapeId="0">
      <text>
        <r>
          <rPr>
            <sz val="11"/>
            <color theme="1"/>
            <rFont val="Calibri"/>
            <family val="2"/>
            <scheme val="minor"/>
          </rPr>
          <t>======
ID#AAABj6YR1zc
Autor    (2025-05-20 15:51:52)
Horas de academia dentro de la jornada contratada</t>
        </r>
      </text>
    </comment>
    <comment ref="Y3" authorId="0" shapeId="0">
      <text>
        <r>
          <rPr>
            <sz val="11"/>
            <color theme="1"/>
            <rFont val="Calibri"/>
            <family val="2"/>
            <scheme val="minor"/>
          </rPr>
          <t>======
ID#AAABj6YR1zk
Autor    (2025-05-20 15:51:52)
Fuera del horario de clases</t>
        </r>
      </text>
    </comment>
    <comment ref="AB3" authorId="0" shapeId="0">
      <text>
        <r>
          <rPr>
            <sz val="11"/>
            <color theme="1"/>
            <rFont val="Calibri"/>
            <family val="2"/>
            <scheme val="minor"/>
          </rPr>
          <t>======
ID#AAABj6YR1zI
Autor    (2025-05-20 15:51:52)
Se acordó entre los colegios dejar como HNL</t>
        </r>
      </text>
    </comment>
  </commentList>
</comments>
</file>

<file path=xl/sharedStrings.xml><?xml version="1.0" encoding="utf-8"?>
<sst xmlns="http://schemas.openxmlformats.org/spreadsheetml/2006/main" count="2887" uniqueCount="1205">
  <si>
    <t>Horas Totales</t>
  </si>
  <si>
    <t>Rut</t>
  </si>
  <si>
    <t>Nombre</t>
  </si>
  <si>
    <t>Asignatura / Depto 1</t>
  </si>
  <si>
    <t>Asignatura / Depto 2</t>
  </si>
  <si>
    <t>Asignatura / Depto 3</t>
  </si>
  <si>
    <t>Electivo (Depto)</t>
  </si>
  <si>
    <t>Profesor Jefe (x)</t>
  </si>
  <si>
    <t>Jefe Depto. (x)</t>
  </si>
  <si>
    <t>Coordinador (x)</t>
  </si>
  <si>
    <t>Tipo Coordinador</t>
  </si>
  <si>
    <t>Ciclo</t>
  </si>
  <si>
    <t>Hra. Form. / asamblea</t>
  </si>
  <si>
    <t>Total  Horas Lectivas</t>
  </si>
  <si>
    <t>Planificación</t>
  </si>
  <si>
    <t>Jefatura de Curso</t>
  </si>
  <si>
    <t>Tutoría</t>
  </si>
  <si>
    <t>perfecc. - Martes</t>
  </si>
  <si>
    <t>Academia                                     (sólo hrs. en contrato)</t>
  </si>
  <si>
    <t>Extraprogramáticas (Entrenam./Coro, otros)</t>
  </si>
  <si>
    <t>Laboratorio</t>
  </si>
  <si>
    <t>Encargado(a) Epc</t>
  </si>
  <si>
    <t>Turno de Lectura</t>
  </si>
  <si>
    <t>Turno de almuerzo</t>
  </si>
  <si>
    <t>Turno de patio</t>
  </si>
  <si>
    <t>T. entrada - salida</t>
  </si>
  <si>
    <t>Otras HNL</t>
  </si>
  <si>
    <t>Descripción de otras HNL</t>
  </si>
  <si>
    <t>Total Horas No Lectivas</t>
  </si>
  <si>
    <t>Coordinación</t>
  </si>
  <si>
    <t>J. Depto.</t>
  </si>
  <si>
    <t>Encargado(a) UTP</t>
  </si>
  <si>
    <t>Otras Hrs. ténico pedagógicas</t>
  </si>
  <si>
    <t>Descripción de otras HTP</t>
  </si>
  <si>
    <t>Total Hrs. téc. pedagógicas</t>
  </si>
  <si>
    <t>Otras No docentes</t>
  </si>
  <si>
    <t>Descripción Hrs. no docentes</t>
  </si>
  <si>
    <t>Total Horas No docentes</t>
  </si>
  <si>
    <t>Total hrs. distribuidas</t>
  </si>
  <si>
    <t>Diferencia con HT</t>
  </si>
  <si>
    <t>Jornada Cronológica</t>
  </si>
  <si>
    <t>HL cronológicas</t>
  </si>
  <si>
    <t>HTP cron</t>
  </si>
  <si>
    <t>Otras no Doc cron</t>
  </si>
  <si>
    <t>HNL cron</t>
  </si>
  <si>
    <t>17089145-7</t>
  </si>
  <si>
    <t>ALAMOS MORANDE CATALINA DEL ROSARIO</t>
  </si>
  <si>
    <t>NAT</t>
  </si>
  <si>
    <t>SUSTENTABILIDAD</t>
  </si>
  <si>
    <t>CPA</t>
  </si>
  <si>
    <t>20251647-5</t>
  </si>
  <si>
    <t>ALCALDE URRUTIA FLORENCIA</t>
  </si>
  <si>
    <t>18394892-K</t>
  </si>
  <si>
    <t>ALLIENDE ALVAREZ JIMENA</t>
  </si>
  <si>
    <t>HIS</t>
  </si>
  <si>
    <t>CAS</t>
  </si>
  <si>
    <t>REL</t>
  </si>
  <si>
    <t>x</t>
  </si>
  <si>
    <t>CDA/JA/CONECTA</t>
  </si>
  <si>
    <t>19517471-7</t>
  </si>
  <si>
    <t>ANGULO RILLON MARIA JESUS</t>
  </si>
  <si>
    <t>ING</t>
  </si>
  <si>
    <t>18932063-9</t>
  </si>
  <si>
    <t>ARIZTIA VON WUSSOW MARIA JESUS</t>
  </si>
  <si>
    <t>EGB</t>
  </si>
  <si>
    <t>ACADEMIAS ADM</t>
  </si>
  <si>
    <t>14488737-9</t>
  </si>
  <si>
    <t>ARREGUI ZAMORANO MARÍA TERESA</t>
  </si>
  <si>
    <t>16611379-2</t>
  </si>
  <si>
    <t>ASPILLAGA VALDES MARIA TRINIDAD</t>
  </si>
  <si>
    <t>16964804-2</t>
  </si>
  <si>
    <t>BABIC SEPULVEDA KRASNA ALEJANDRA</t>
  </si>
  <si>
    <t>18642364-K</t>
  </si>
  <si>
    <t>BARROS ROSEMARY M. DE LOS ANGELES</t>
  </si>
  <si>
    <t>FIL</t>
  </si>
  <si>
    <t>PLAN FORM PROFESORAS</t>
  </si>
  <si>
    <t>14131462-9</t>
  </si>
  <si>
    <t>BELMAR AMENÁBAR ANA MARÍA</t>
  </si>
  <si>
    <t>9003901-6</t>
  </si>
  <si>
    <t>BIGGS DE LA TORRE MARCELA</t>
  </si>
  <si>
    <t>PRE</t>
  </si>
  <si>
    <t>7051169-K</t>
  </si>
  <si>
    <t>BRAHM GARCIA ANA MARÍA EMMY</t>
  </si>
  <si>
    <t>7516533-1</t>
  </si>
  <si>
    <t>BRISEÑO ALDUNATE EMMA DEL ROSARIO</t>
  </si>
  <si>
    <t>biblioteca</t>
  </si>
  <si>
    <t>15641039-K</t>
  </si>
  <si>
    <t>BURMESTER PINTO ANA MARÍA</t>
  </si>
  <si>
    <t>CLAVE</t>
  </si>
  <si>
    <t>17405848-2</t>
  </si>
  <si>
    <t>CASTILLO PRIETO ISABEL</t>
  </si>
  <si>
    <t>ORIENTACION PAES</t>
  </si>
  <si>
    <t>9253028-0</t>
  </si>
  <si>
    <t>CASTILLO VIAL MARIA MAGDALENA</t>
  </si>
  <si>
    <t>17087887-6</t>
  </si>
  <si>
    <t>CASTRO MIRANDA CAMILA PAULINA</t>
  </si>
  <si>
    <t>16018761-1</t>
  </si>
  <si>
    <t>CLARO VALDES MARIA ELVIRA</t>
  </si>
  <si>
    <t>TEC</t>
  </si>
  <si>
    <t>ART</t>
  </si>
  <si>
    <t>COMPUTACION</t>
  </si>
  <si>
    <t>12846300-3</t>
  </si>
  <si>
    <t>CONTRERAS CONTRERAS PAULINA</t>
  </si>
  <si>
    <t>20073620-6</t>
  </si>
  <si>
    <t>CORNEJO NUÑEZ ROSARIO TERESITA</t>
  </si>
  <si>
    <t>13234677-1</t>
  </si>
  <si>
    <t>CORREA FELIU MARÍA ALEJANDRA</t>
  </si>
  <si>
    <t>24338800-7</t>
  </si>
  <si>
    <t>CORTES NOVOA FRANCISCA MARIA</t>
  </si>
  <si>
    <t>MAT</t>
  </si>
  <si>
    <t>18018549-6</t>
  </si>
  <si>
    <t>DE LOS HOYOS MORENO MARIA FRANCISCA</t>
  </si>
  <si>
    <t>19935935-5</t>
  </si>
  <si>
    <t>DONOSO BARAONA TRINIDAD</t>
  </si>
  <si>
    <t>EGB - ING</t>
  </si>
  <si>
    <t>15381304-3</t>
  </si>
  <si>
    <t>ECHEVERRÍA ERRÁZURIZ MARÍA ROSARIO</t>
  </si>
  <si>
    <t>15960453-5</t>
  </si>
  <si>
    <t>ECHEVERRIA IBAÑEZ MARIA CAROLINA</t>
  </si>
  <si>
    <t>CONECTA</t>
  </si>
  <si>
    <t>19639162-2</t>
  </si>
  <si>
    <t>ECHEVERRIA PAREDES ISIDORA</t>
  </si>
  <si>
    <t>20084316-9</t>
  </si>
  <si>
    <t>ERRAZURIZ RENCORET JAVIERA</t>
  </si>
  <si>
    <t>19401311-6</t>
  </si>
  <si>
    <t>EYZAGUIRRE ALAMOS MARÍA FRANCISCA</t>
  </si>
  <si>
    <t>EFI</t>
  </si>
  <si>
    <t>ATLETISMO/ADM ATLETISMO</t>
  </si>
  <si>
    <t>16368327-K</t>
  </si>
  <si>
    <t>EYZAGUIRRE GUZMAN ALEJANDRINA</t>
  </si>
  <si>
    <t>19743630-1</t>
  </si>
  <si>
    <t>FIELDHOUSE REYES CONSTANZA BELEN</t>
  </si>
  <si>
    <t>17088645-3</t>
  </si>
  <si>
    <t>FONTECILLA MONTT JOSEFINA</t>
  </si>
  <si>
    <t>14043836-7</t>
  </si>
  <si>
    <t>FRANCO BURGOS PAULA ARLENE</t>
  </si>
  <si>
    <t>ENTRENAM BASQUET/ ADM BASQUET</t>
  </si>
  <si>
    <t>19078748-6</t>
  </si>
  <si>
    <t>GALIMANY NAVAJAS MONTSERRAT DEL CARMEN</t>
  </si>
  <si>
    <t>7031322-7</t>
  </si>
  <si>
    <t>GALLEGO MINGO MARIA PAZ</t>
  </si>
  <si>
    <t>PERMANENCIA EXTRA</t>
  </si>
  <si>
    <t>12232752-3</t>
  </si>
  <si>
    <t>GARCIA HUIDOBRO BUSTAMANTE CATALINA</t>
  </si>
  <si>
    <t>LITURGIA</t>
  </si>
  <si>
    <t>10734683-K</t>
  </si>
  <si>
    <t>GOLDENBERG RAMDOHR MARÍA JOSE</t>
  </si>
  <si>
    <t>12049512-7</t>
  </si>
  <si>
    <t>GONZALEZ LARENAS CAROLINA ANDREA</t>
  </si>
  <si>
    <t>19475400-0</t>
  </si>
  <si>
    <t>GONZALEZ MENDICOA ROSARIO</t>
  </si>
  <si>
    <t>17266711-2</t>
  </si>
  <si>
    <t>GONZALEZ UGARTE MARIA ISABEL</t>
  </si>
  <si>
    <t>17957134-K</t>
  </si>
  <si>
    <t>IRARRAZAVAL DE LA CARRERA BLANCA MARIA</t>
  </si>
  <si>
    <t>Académico</t>
  </si>
  <si>
    <t>18023333-4</t>
  </si>
  <si>
    <t>IRARRAZAVAL DE LA CERDA CATALINA</t>
  </si>
  <si>
    <t>17700888-5</t>
  </si>
  <si>
    <t>IZQUIERDO BACARREZA GUADALUPE</t>
  </si>
  <si>
    <t>7368457-9</t>
  </si>
  <si>
    <t>JURGENSEN ELBO ELIZABETH</t>
  </si>
  <si>
    <t>TALK STAR</t>
  </si>
  <si>
    <t>16212526-5</t>
  </si>
  <si>
    <t>KAULEN CORREA MARIA ADRIANA</t>
  </si>
  <si>
    <t>19685941-1</t>
  </si>
  <si>
    <t>LARRAIN DIAZ JACINTA</t>
  </si>
  <si>
    <t>13882107-2</t>
  </si>
  <si>
    <t>LARRAIN HURTADO NATALIA</t>
  </si>
  <si>
    <t>18025464-1</t>
  </si>
  <si>
    <t>LECAROS VERGARA MARIA BELEN</t>
  </si>
  <si>
    <t>19638511-8</t>
  </si>
  <si>
    <t>LECAROS  ALEJANDRA (REEMPLAZO)</t>
  </si>
  <si>
    <t>20831860-8</t>
  </si>
  <si>
    <t>LEON LANGLOIS PILAR</t>
  </si>
  <si>
    <t>8:00-8:15</t>
  </si>
  <si>
    <t>19926621-7</t>
  </si>
  <si>
    <t>LEON RIVERA VALENTINA</t>
  </si>
  <si>
    <t>15959609-5</t>
  </si>
  <si>
    <t>MARRACCINI ARRAU MARIA ELENA</t>
  </si>
  <si>
    <t>MUS</t>
  </si>
  <si>
    <t>ENCARGOS ESPECIALES</t>
  </si>
  <si>
    <t>13020644-1</t>
  </si>
  <si>
    <t>MARTINEZ BENAVENTE CAROLINA ALEJANDRA</t>
  </si>
  <si>
    <t>8983131-8</t>
  </si>
  <si>
    <t>MARTINEZ MACHUCA RUTH MARISOL</t>
  </si>
  <si>
    <t>19437994-3</t>
  </si>
  <si>
    <t>MERY EGAÑA CARMEN MARIA</t>
  </si>
  <si>
    <t>13658934-2</t>
  </si>
  <si>
    <t>MONTERO ORPHANOPOULOS MARIA PAZ</t>
  </si>
  <si>
    <t>PREPARACION PAES</t>
  </si>
  <si>
    <t>BIBLIOTECA</t>
  </si>
  <si>
    <t>19245073-K</t>
  </si>
  <si>
    <t>MUNITA IRARRAZAVAL ANTONIA</t>
  </si>
  <si>
    <t>12519396-K</t>
  </si>
  <si>
    <t>OLIVARES ARAYA SANDRA JIMENA</t>
  </si>
  <si>
    <t>20680321-5</t>
  </si>
  <si>
    <t>ORTIZ MONTENEGRO JOSEFINA BEATRIZ</t>
  </si>
  <si>
    <t>MINI ATLETISMO/ ADM ATLETISMO</t>
  </si>
  <si>
    <t>17704754-6</t>
  </si>
  <si>
    <t>OVALLE GANA SARITA</t>
  </si>
  <si>
    <t>15312167-2</t>
  </si>
  <si>
    <t>OVALLE VALDES ANTONIA</t>
  </si>
  <si>
    <t>13882879-4</t>
  </si>
  <si>
    <t>PEÑAFIEL GRANDELA MARIA DEL PILAR</t>
  </si>
  <si>
    <t>Formación</t>
  </si>
  <si>
    <t>15384428-3</t>
  </si>
  <si>
    <t>PEREZ DIAZ MACARENA MARIA</t>
  </si>
  <si>
    <t>16358612-6</t>
  </si>
  <si>
    <t>PEREZ DIAZ MAGDALENA MARIA</t>
  </si>
  <si>
    <t>13670797-3</t>
  </si>
  <si>
    <t>PILASI PENDAS MARIA JOSE</t>
  </si>
  <si>
    <t>HOCKEY/ADM HOCKEY</t>
  </si>
  <si>
    <t>20243178-K</t>
  </si>
  <si>
    <t>PINEDA RAMIREZ VICTORIA ANDREA</t>
  </si>
  <si>
    <t>16355887-4</t>
  </si>
  <si>
    <t>PINTO POOLEY MARIA DE LOS ANGELES</t>
  </si>
  <si>
    <t>ATLETISMO</t>
  </si>
  <si>
    <t>13742031-7</t>
  </si>
  <si>
    <t>PRADENAS ARRIAGADA MARIA JOSE</t>
  </si>
  <si>
    <t>CAMPEONATO</t>
  </si>
  <si>
    <t>16662174-7</t>
  </si>
  <si>
    <t>PRAT CAMPOSANO MARÍA DE LOS ANGELES</t>
  </si>
  <si>
    <t>20417332-K</t>
  </si>
  <si>
    <t>PUEBLA TSUKAME JAVIERA KATSUE</t>
  </si>
  <si>
    <t>19688771-7</t>
  </si>
  <si>
    <t>REID NIETO CONSTANZA MARIA</t>
  </si>
  <si>
    <t>21106024-7</t>
  </si>
  <si>
    <t>REYES PARRAGA ALESSANDRA PATRICIA</t>
  </si>
  <si>
    <t>DEBATE</t>
  </si>
  <si>
    <t>19246893-0</t>
  </si>
  <si>
    <t>RICALDE TAGLE MARIA FRANCISCA</t>
  </si>
  <si>
    <t>ADM ACADEMIA</t>
  </si>
  <si>
    <t>19246894-9</t>
  </si>
  <si>
    <t>RICALDE TAGLE ROSARIO DEL CARMEN</t>
  </si>
  <si>
    <t>10193826-3</t>
  </si>
  <si>
    <t>RIED SILVA MARIA DOLORES</t>
  </si>
  <si>
    <t>10328414-7</t>
  </si>
  <si>
    <t>ROJAS OCHAGAVIA PILAR</t>
  </si>
  <si>
    <t>CLAVE/CONECTA/IZAMIENTO</t>
  </si>
  <si>
    <t>8827028-2</t>
  </si>
  <si>
    <t>RUIZ DE GAMBOA MONTT MARIA DE LA LUZ</t>
  </si>
  <si>
    <t>10726155-9</t>
  </si>
  <si>
    <t>RUIZ FABRES MARIA FRANCISCA</t>
  </si>
  <si>
    <t>REL PREESC/ LITURGIA</t>
  </si>
  <si>
    <t>18807391-3</t>
  </si>
  <si>
    <t>SAENZ MARITANO JOSEFA MARIA</t>
  </si>
  <si>
    <t>18013704-1</t>
  </si>
  <si>
    <t>SAEZ MALEBRAN MARIAJOSE FERNANDA</t>
  </si>
  <si>
    <t>COM PERIODIST/ALM FORMAT/TRABAJ/IZAM</t>
  </si>
  <si>
    <t>20076136-7</t>
  </si>
  <si>
    <t>SALGADO TAGLE LAURA</t>
  </si>
  <si>
    <t>20072222-1</t>
  </si>
  <si>
    <t>SANDE GUGLIELMETTI JOSEFINA</t>
  </si>
  <si>
    <t>19332021-K</t>
  </si>
  <si>
    <t>SOLAR RENGIFO MARIA MAGDALENA</t>
  </si>
  <si>
    <t>13831384-0</t>
  </si>
  <si>
    <t>TORAL CHAIGNEAU FRANCISCA CAROLINA</t>
  </si>
  <si>
    <t>Coo depto. tecnología</t>
  </si>
  <si>
    <t>19244176-5</t>
  </si>
  <si>
    <t>TROTTER ECHEVERRIA MARIANA</t>
  </si>
  <si>
    <t>16356866-7</t>
  </si>
  <si>
    <t>UGARTE PEREZ MARIA TERESA</t>
  </si>
  <si>
    <t>19245161-2</t>
  </si>
  <si>
    <t>VALENZUELA AUGERAUD LAURA</t>
  </si>
  <si>
    <t>8827983-2</t>
  </si>
  <si>
    <t>VENZANO CARVAJAL CARMEN CECILIA</t>
  </si>
  <si>
    <t>18239411-4</t>
  </si>
  <si>
    <t>VERA IZQUIERDO MARIA TRINIDAD INES</t>
  </si>
  <si>
    <t>16874926-0</t>
  </si>
  <si>
    <t>VERDEJO ESCOBAR LORENA</t>
  </si>
  <si>
    <t>17083669-3</t>
  </si>
  <si>
    <t>VIAL VALENZUELA MARIA JESUS</t>
  </si>
  <si>
    <t>20309199-0</t>
  </si>
  <si>
    <t>VILLALOBOS AVENDAÑO JOSEFINA</t>
  </si>
  <si>
    <t>18935521-1</t>
  </si>
  <si>
    <t>VILLEGAS LAGOS MONTSERRAT XIMENA</t>
  </si>
  <si>
    <t>19685592-0</t>
  </si>
  <si>
    <t>VIVEROS GODOY MARIA JOSE</t>
  </si>
  <si>
    <t>PROYECTO CULTURAL</t>
  </si>
  <si>
    <t>13065372-3</t>
  </si>
  <si>
    <t>WALDER BENAVIDES TAMARA</t>
  </si>
  <si>
    <t>9032847-6</t>
  </si>
  <si>
    <t>WILSON HOLZAPFEL SUSANA</t>
  </si>
  <si>
    <t>9093849-5</t>
  </si>
  <si>
    <t>ZALAZAR RIVERA MARÍA ISABEL</t>
  </si>
  <si>
    <t>Distribución de Horas CLA</t>
  </si>
  <si>
    <t>Distribución de Horas Colegio Tabancura</t>
  </si>
  <si>
    <t>14166176-0</t>
  </si>
  <si>
    <t>ABARZUA VASQUEZ ALFREDO IGNACIO</t>
  </si>
  <si>
    <t>2do C</t>
  </si>
  <si>
    <t/>
  </si>
  <si>
    <t>Presentaciones y ensayos generales</t>
  </si>
  <si>
    <t>18181433-0</t>
  </si>
  <si>
    <t>ALARCON CONTRERAS JORGE ANDRES</t>
  </si>
  <si>
    <t>BIO</t>
  </si>
  <si>
    <t>2do C y 3er C</t>
  </si>
  <si>
    <t>Reunión ciclo</t>
  </si>
  <si>
    <t>10650029-0</t>
  </si>
  <si>
    <t>AMENABAR FIGUEROA ANDRES</t>
  </si>
  <si>
    <t>16920372-5</t>
  </si>
  <si>
    <t>ANCAPI ZAVALA FRANCISCO JAVIER</t>
  </si>
  <si>
    <t>Bilingüismo</t>
  </si>
  <si>
    <t>1er C</t>
  </si>
  <si>
    <t>16611219-2</t>
  </si>
  <si>
    <t>AVENDAÑO VARELA ANTONIO ALBERTO</t>
  </si>
  <si>
    <t>Apoyo coordinador + 1 Reunión ciclo</t>
  </si>
  <si>
    <t>10438179-0</t>
  </si>
  <si>
    <t>AVILA LOBOS JAVIER ENRÍQUE</t>
  </si>
  <si>
    <t>todos</t>
  </si>
  <si>
    <t xml:space="preserve">torneos </t>
  </si>
  <si>
    <t>17678318-4</t>
  </si>
  <si>
    <t>BARAHONA MORA MATIAS OSVALDO</t>
  </si>
  <si>
    <t>torneos</t>
  </si>
  <si>
    <t>16810759-5</t>
  </si>
  <si>
    <t>BARRAZA RIQUELME PABLO ANDRES</t>
  </si>
  <si>
    <t>12405617-9</t>
  </si>
  <si>
    <t>BELLO ARCE JOSÉ LUIS</t>
  </si>
  <si>
    <t>2do C  y 3er C</t>
  </si>
  <si>
    <t>18354967-7</t>
  </si>
  <si>
    <t>BERSEZIO ARAYA CRISTOBAL GUILLERMO</t>
  </si>
  <si>
    <t>Encargado PAES / Reunión ciclo</t>
  </si>
  <si>
    <t>16474370-5</t>
  </si>
  <si>
    <t>BRAVO PASTEN AARON ISRAEL</t>
  </si>
  <si>
    <t>15776252-4</t>
  </si>
  <si>
    <t>BUSTAMANTE GRUNERT ISMAEL</t>
  </si>
  <si>
    <t xml:space="preserve">Lego League </t>
  </si>
  <si>
    <t>15330406-8</t>
  </si>
  <si>
    <t>CARREÑO CAÑAS CESAR ALONSO</t>
  </si>
  <si>
    <t>15371942-K</t>
  </si>
  <si>
    <t>CASSANELLO BUENO ANGELO</t>
  </si>
  <si>
    <t>12274757-3</t>
  </si>
  <si>
    <t>CASTAÑEDA TORRES FERNANDO ALEJANDRO</t>
  </si>
  <si>
    <t>Equipo lenguaje e inclusión + 1 Reunión ciclo</t>
  </si>
  <si>
    <t>16839229-K</t>
  </si>
  <si>
    <t>CHABAN ANABALON CHESTER FABIAN</t>
  </si>
  <si>
    <t>Equipo english + 1 Reunión ciclo</t>
  </si>
  <si>
    <t>16389362-2</t>
  </si>
  <si>
    <t>CHANDIA CHAVEZ RODRIGO ALBERTO</t>
  </si>
  <si>
    <t>Reunión ciclo + 3 planificaciones de nivel + Encargado de Academias</t>
  </si>
  <si>
    <t>17629798-0</t>
  </si>
  <si>
    <t>CHAVARRIA ARIAS RAMON ALEX</t>
  </si>
  <si>
    <t>13883132-9</t>
  </si>
  <si>
    <t>CILA QUINTANA FRANCISCO JAVIER</t>
  </si>
  <si>
    <t>15958268-K</t>
  </si>
  <si>
    <t>COLIN MARDONES WILSON ANDRES</t>
  </si>
  <si>
    <t>Equipo matemática + 1 Reunión ciclo</t>
  </si>
  <si>
    <t>16409770-6</t>
  </si>
  <si>
    <t>CONCHA RAMIREZ ARIEL ANTONIO</t>
  </si>
  <si>
    <t>3er C</t>
  </si>
  <si>
    <t>10012053-4</t>
  </si>
  <si>
    <t>CORREA PRADO INES DE LA ASUNCION</t>
  </si>
  <si>
    <t>15341216-2</t>
  </si>
  <si>
    <t>COSTA BOBADILLA FABRIZIO NICOLAS</t>
  </si>
  <si>
    <t>15806613-0</t>
  </si>
  <si>
    <t>CUEVAS SOTO RODRIGO ANTONIO</t>
  </si>
  <si>
    <t>15445728-3</t>
  </si>
  <si>
    <t>DE LA FUENTE MUNDACA RODRIGO ANDRÉS</t>
  </si>
  <si>
    <t>15930885-5</t>
  </si>
  <si>
    <t>DIAZ MENDEZ ESTEBAN ANDRES</t>
  </si>
  <si>
    <t>10871622-3</t>
  </si>
  <si>
    <t>DIAZ YUFFER ANTONIO ENRIQUE</t>
  </si>
  <si>
    <t>15331638-4</t>
  </si>
  <si>
    <t>ERRAZURIZ CRUZ JOSE IGNACIO</t>
  </si>
  <si>
    <t>Equipo música + Actos Cívicos  + 1 Reunión ciclo</t>
  </si>
  <si>
    <t>15003680-1</t>
  </si>
  <si>
    <t>ESCOBAR ALVAREZ FRANKLIN JOSE</t>
  </si>
  <si>
    <t>13835237-4</t>
  </si>
  <si>
    <t>FIGUEROA HERMOSILLA NELSON WILLIAM</t>
  </si>
  <si>
    <t>10031630-7</t>
  </si>
  <si>
    <t>GARCIA PEREZ JOSE LUIS</t>
  </si>
  <si>
    <t>Apoyo GCH + 1 Reunión ciclo</t>
  </si>
  <si>
    <t>18636417-1</t>
  </si>
  <si>
    <t>GIL DÍAZ VICENTE ROBERTO</t>
  </si>
  <si>
    <t>Reemplazos/ Torneos</t>
  </si>
  <si>
    <t>10795711-1</t>
  </si>
  <si>
    <t>GODOY MONTERO LUIS VLADIMIR</t>
  </si>
  <si>
    <t>17356614-K</t>
  </si>
  <si>
    <t>GONZALEZ GALDAMES JOSE IGNACIO</t>
  </si>
  <si>
    <t>10795724-3</t>
  </si>
  <si>
    <t>GONZALEZ SCHULZ CARLOS FELIPE</t>
  </si>
  <si>
    <t>9843141-1</t>
  </si>
  <si>
    <t>GORMAZ LOBOS GONZALO ANDRÉS</t>
  </si>
  <si>
    <t>EPC - Equipo religión + 1 Reunión ciclo</t>
  </si>
  <si>
    <t>16875700-K</t>
  </si>
  <si>
    <t>HALTY SAROBE MANUEL ALEJANDRO</t>
  </si>
  <si>
    <t>18149153-1</t>
  </si>
  <si>
    <t>HARDY LANAS DAVID NICHOLAS</t>
  </si>
  <si>
    <t>19003227-2</t>
  </si>
  <si>
    <t>HERMOSILLA BRIONES ADOLFO ANDRES</t>
  </si>
  <si>
    <t>7795177-6</t>
  </si>
  <si>
    <t>HERRERA MUÑOZ JUAN ALBERTO</t>
  </si>
  <si>
    <t>17832249-4</t>
  </si>
  <si>
    <t>IBARRA DONAIRE FRANCISCO JAVIER</t>
  </si>
  <si>
    <t>Obras de Misericordia + 1 Reunión ciclo</t>
  </si>
  <si>
    <t>17006532-8</t>
  </si>
  <si>
    <t>IRARRAZABAL CUBILLOS PABLO HERALDO</t>
  </si>
  <si>
    <t>Coordinación tecnología + 1 Reunión ciclo</t>
  </si>
  <si>
    <t>20430086-0</t>
  </si>
  <si>
    <t>JACOB ROODRIGUEZ CLAUS ERICK</t>
  </si>
  <si>
    <t>Activivdades sociales del colegio</t>
  </si>
  <si>
    <t>14580418-3</t>
  </si>
  <si>
    <t>JOVEL LARA LUIS FERNANDO</t>
  </si>
  <si>
    <t>15605467-4</t>
  </si>
  <si>
    <t>LATORRE BARRIENTOS JENNIFER ALEJANDRA</t>
  </si>
  <si>
    <t>6168072-1</t>
  </si>
  <si>
    <t>LECOURT KENDALL CLAUDIO ANTONIO</t>
  </si>
  <si>
    <t>13657238-5</t>
  </si>
  <si>
    <t>LEON PUERTAS PABLO JESUS</t>
  </si>
  <si>
    <t>17961267-4</t>
  </si>
  <si>
    <t>LIZAMA CARVAJAL JOSÉ FRANCISCO JAVIER</t>
  </si>
  <si>
    <t>Apoyo NEEP + Convivencia Escolar</t>
  </si>
  <si>
    <t>14629027-2</t>
  </si>
  <si>
    <t>MAESTRO GARCIA JOSE MANUEL</t>
  </si>
  <si>
    <t>25126139-3</t>
  </si>
  <si>
    <t>MAGALLANES RAMIREZ HUMBERTO</t>
  </si>
  <si>
    <t>Apoyo equipo religión + 1 Reunión ciclo + Catequesis</t>
  </si>
  <si>
    <t>13901818-4</t>
  </si>
  <si>
    <t>MARDONES RETAMAL MANUEL NIBALDO</t>
  </si>
  <si>
    <t>Equipo SIMCE + 1 Reunión ciclo</t>
  </si>
  <si>
    <t>9522386-9</t>
  </si>
  <si>
    <t>MARQUEZ PEÑA EDUARDO SEGUNDO</t>
  </si>
  <si>
    <t>20100181-1</t>
  </si>
  <si>
    <t>MARTINEZ GONZALEZ DANIEL HUMBERTO</t>
  </si>
  <si>
    <t>26521977-2</t>
  </si>
  <si>
    <t>MEDINA RONDON NESTOR DANIEL</t>
  </si>
  <si>
    <t>Equipo Social st. + 1 Reunión ciclo + Urbanidad</t>
  </si>
  <si>
    <t>13030324-2</t>
  </si>
  <si>
    <t>MELLA NARANJO PABLO ANDRÉS</t>
  </si>
  <si>
    <t>1er C y 2do C</t>
  </si>
  <si>
    <t>16368708-9</t>
  </si>
  <si>
    <t>MUÑOZ NAVIA FRANCISCO JOSE</t>
  </si>
  <si>
    <t>12478233-3</t>
  </si>
  <si>
    <t>NAVARRO MUÑOZ JOSE ALEJANDRO</t>
  </si>
  <si>
    <t>Equipo sacramentos, formación. + 1 Reunión ciclo</t>
  </si>
  <si>
    <t>7269029-K</t>
  </si>
  <si>
    <t>OLCAY RIVERA CARLOS EDUARDO</t>
  </si>
  <si>
    <t>18458879-K</t>
  </si>
  <si>
    <t>OLIVOS LEIVA CRISTIAN IGNACIO</t>
  </si>
  <si>
    <t>Encargado PAES / Reunión ciclo / Encargado CAT</t>
  </si>
  <si>
    <t>11481421-0</t>
  </si>
  <si>
    <t>ORELLANA ALFARO MARCELO</t>
  </si>
  <si>
    <t>8209583-7</t>
  </si>
  <si>
    <t>ORELLANA VERDEJO MARCO ANTONIO</t>
  </si>
  <si>
    <t>17956518-8</t>
  </si>
  <si>
    <t>PARADA MELLADO LEANDRO SALVADOR</t>
  </si>
  <si>
    <t>Epc + 1 Reunión ciclo</t>
  </si>
  <si>
    <t>16365253-6</t>
  </si>
  <si>
    <t>PEDRASA PIZARRO RODRIGO JOSE</t>
  </si>
  <si>
    <t>16255241-4</t>
  </si>
  <si>
    <t>PEREZ CAMPOS LUIS HERNAN</t>
  </si>
  <si>
    <t>Equipo science, equipo english + 1 Reunión ciclo</t>
  </si>
  <si>
    <t>9679037-6</t>
  </si>
  <si>
    <t>PEREZ VILLAVICENCIO JUAN ROBERTO</t>
  </si>
  <si>
    <t>15643732-8</t>
  </si>
  <si>
    <t>PINO ROJAS TOMAS ENRIQUE</t>
  </si>
  <si>
    <t>19226423-5</t>
  </si>
  <si>
    <t>PONTONE ORTIZ ESTEBAN IGNACIO</t>
  </si>
  <si>
    <t>Equipo Lenguaje + 1 Reunión ciclo</t>
  </si>
  <si>
    <t>17839109-7</t>
  </si>
  <si>
    <t>QUEZADA VEGA JOSE MIGUEL</t>
  </si>
  <si>
    <t>Epc - Coordinación tecnología + 1 Reunión ciclo</t>
  </si>
  <si>
    <t>25732002-2</t>
  </si>
  <si>
    <t>QUINTERO FUENMAYOR ALBERTO JOSE</t>
  </si>
  <si>
    <t>Equipo lenguaje + 1 Reunión ciclo</t>
  </si>
  <si>
    <t>14162849-6</t>
  </si>
  <si>
    <t>RAMIREZ BUSTAMANTE ADAN ESTEBAN</t>
  </si>
  <si>
    <t>11356785-6</t>
  </si>
  <si>
    <t>REYES BUSCH VICTOR GERMAN</t>
  </si>
  <si>
    <t>17225739-9</t>
  </si>
  <si>
    <t>REYES SANHUEZA JOSE MANUEL</t>
  </si>
  <si>
    <t>Equipo lenguaje - fomento lector + 1 Reunión ciclo</t>
  </si>
  <si>
    <t>16421706-K</t>
  </si>
  <si>
    <t>RIQUELME LUCERO JUAN VALENTIN</t>
  </si>
  <si>
    <t>14270806-K</t>
  </si>
  <si>
    <t>ROJAS JARA IVONNE LORETO</t>
  </si>
  <si>
    <t>16956093-5</t>
  </si>
  <si>
    <t>RUBIO ARENAS ALEJANDRO ALBERTO</t>
  </si>
  <si>
    <t>18006049-9</t>
  </si>
  <si>
    <t>SABUGO DURÁN FERNANDO IGNACIO</t>
  </si>
  <si>
    <t>Equipo matemática - actos cívicos + 1 Reunión ciclo</t>
  </si>
  <si>
    <t>19743246-2</t>
  </si>
  <si>
    <t>SAIHUEQUE LARA ELIAS ABRAHAM</t>
  </si>
  <si>
    <t>16470535-8</t>
  </si>
  <si>
    <t>SALAZAR COSIALLS FRANCISCO JOSE</t>
  </si>
  <si>
    <t>Lego League + 1 Reunión ciclo</t>
  </si>
  <si>
    <t>24789812-3</t>
  </si>
  <si>
    <t>SANCHEZ QUINTANA FREDDY JOSE</t>
  </si>
  <si>
    <t>15349667-6</t>
  </si>
  <si>
    <t>SANDOVAL MOLINA MIGUEL ANGEL</t>
  </si>
  <si>
    <t>16944841-8</t>
  </si>
  <si>
    <t>SANHUEZA HIDALGO RICARDO SEBASTIAN</t>
  </si>
  <si>
    <t>Equipo  english + 1 Reunión ciclo</t>
  </si>
  <si>
    <t>8833274-1</t>
  </si>
  <si>
    <t>SANTIBAÑEZ MORALES GONZALO CRISTIAN</t>
  </si>
  <si>
    <t>19892585-3</t>
  </si>
  <si>
    <t>SCHAFFER BURSIC DIEGO MANUEL</t>
  </si>
  <si>
    <t>17830586-7</t>
  </si>
  <si>
    <t>SOTO MUÑOZ ALVARO MANUEL</t>
  </si>
  <si>
    <t>Reuniones de planificación - Encargado Convivencia - Equipo lenguaje + 1 Reunión ciclo</t>
  </si>
  <si>
    <t>Anuario</t>
  </si>
  <si>
    <t>19891877-6</t>
  </si>
  <si>
    <t>TAGLE VARGAS JOSE MANUEL</t>
  </si>
  <si>
    <t>15416001-9</t>
  </si>
  <si>
    <t>THEZA DIAZ JOSE MAURICIO</t>
  </si>
  <si>
    <t>Epc - equipo music + 1 Reunión ciclo</t>
  </si>
  <si>
    <t>15993570-1</t>
  </si>
  <si>
    <t>TORO LOPEZ JOSE LUIS</t>
  </si>
  <si>
    <t>9477290-7</t>
  </si>
  <si>
    <t>ULLOA CHACON MARIO</t>
  </si>
  <si>
    <t>25819845-K</t>
  </si>
  <si>
    <t>VALBUENA ABREU JOSUE ENRIQUE</t>
  </si>
  <si>
    <t>14451324-K</t>
  </si>
  <si>
    <t>VALDES MIRANDA ALEJANDRO JAVIER</t>
  </si>
  <si>
    <t>Epc - Equipo science + 1 Reunión ciclo</t>
  </si>
  <si>
    <t>19076949-6</t>
  </si>
  <si>
    <t>VALENCIA VALENCIA NICOLAS AGUSTIN</t>
  </si>
  <si>
    <t>13275813-1</t>
  </si>
  <si>
    <t>VALENZUELA BRAVO CESAR RODRIGO</t>
  </si>
  <si>
    <t>Equipo music + 1 Reunión ciclo</t>
  </si>
  <si>
    <t>10243858-2</t>
  </si>
  <si>
    <t>VALENZUELA PORTALES SEBASTIAN</t>
  </si>
  <si>
    <t>9441658-2</t>
  </si>
  <si>
    <t>VALENZUELA RIQUELME CRISTIAN SALVADOR</t>
  </si>
  <si>
    <t>19667804-2</t>
  </si>
  <si>
    <t>VEGA LLANOS FRANCISCO JAVIER</t>
  </si>
  <si>
    <t>19636087-5</t>
  </si>
  <si>
    <t>VIAL UNDURRAGA GUILLERMO AGUSTIN</t>
  </si>
  <si>
    <t>17028224-8</t>
  </si>
  <si>
    <t>VICHUNANTE GONZALEZ MIGUEL JOSE</t>
  </si>
  <si>
    <t>Equipo English + 1 Reunión ciclo + Revista Inglés</t>
  </si>
  <si>
    <t>10293339-7</t>
  </si>
  <si>
    <t>VIOLLO GARRIDO FRANCISCO JAVIER</t>
  </si>
  <si>
    <t>10385099-1</t>
  </si>
  <si>
    <t>ZBINDEN MARTINEZ LUIS MIGUEL</t>
  </si>
  <si>
    <t>Distribución de Horas Colegio Cordillera</t>
  </si>
  <si>
    <t>9382612-4</t>
  </si>
  <si>
    <t>ACOSTA GALAZ CARLOS ENRIQUE</t>
  </si>
  <si>
    <t>Peis y/o Bilingüe + integralis</t>
  </si>
  <si>
    <t>17376396-4</t>
  </si>
  <si>
    <t>ALARCON BRAVO JUAN BAUTISTA</t>
  </si>
  <si>
    <t>19689249-4</t>
  </si>
  <si>
    <t>ARAYA LOPEZ DIEGO ANDRES</t>
  </si>
  <si>
    <t>Peis y/o Bilingüe + PLP</t>
  </si>
  <si>
    <t>15347764-7</t>
  </si>
  <si>
    <t>AZUA ROMERO FRANCISCO JAVIER</t>
  </si>
  <si>
    <t>17406858-5</t>
  </si>
  <si>
    <t>CANEPA VARAS RAIMUNDO JOSE</t>
  </si>
  <si>
    <t>18635627-6</t>
  </si>
  <si>
    <t>CASTILLO VALENZUELA VICENTE</t>
  </si>
  <si>
    <t>Peis y/o Bilingüe + EPC</t>
  </si>
  <si>
    <t>12473135-6</t>
  </si>
  <si>
    <t>COLIPE LAGOS MARCELO ANTONIO</t>
  </si>
  <si>
    <t>15635122-9</t>
  </si>
  <si>
    <t>COLLAO LOPEZ FELIPE IGNACIO</t>
  </si>
  <si>
    <t>EPC</t>
  </si>
  <si>
    <t>25293899-0</t>
  </si>
  <si>
    <t>DE CASTRO MANGLANO FRANCISCO JAVIER</t>
  </si>
  <si>
    <t>Peis y/o Bilingüe + integralis + EPC</t>
  </si>
  <si>
    <t>20198597-8</t>
  </si>
  <si>
    <t>ESCOBEDO RIVEROS PABLO GUILLERMO</t>
  </si>
  <si>
    <t>18927980-9</t>
  </si>
  <si>
    <t>FUENZALIDA IZQUIERDO JOSE TOMAS</t>
  </si>
  <si>
    <t>Peis y/o Bilingüe</t>
  </si>
  <si>
    <t>18340177-7</t>
  </si>
  <si>
    <t>GAMBOA MORALES DAVID IGNACIO HERNÁN</t>
  </si>
  <si>
    <t>Encargado talleres</t>
  </si>
  <si>
    <t>17697895-3</t>
  </si>
  <si>
    <t>GAMBOA SCHMIDT FRANCISCO JOSE</t>
  </si>
  <si>
    <t>16648595-9</t>
  </si>
  <si>
    <t>GONZALEZ MATURANA CARLOS NICOLÁS</t>
  </si>
  <si>
    <t>18451309-9</t>
  </si>
  <si>
    <t>GONZALEZ VILLAGRAN JAVIER NICOLAS</t>
  </si>
  <si>
    <t>16719269-6</t>
  </si>
  <si>
    <t>GUAJARDO MAVROSKI RODRIGO ESTEBAN</t>
  </si>
  <si>
    <t>13275957-K</t>
  </si>
  <si>
    <t>JOFRÉ ROJAS CARLOS ALBERTO</t>
  </si>
  <si>
    <t>Integralis</t>
  </si>
  <si>
    <t>17601229-3</t>
  </si>
  <si>
    <t>LOSADA ECHEVERRIA LUIS ALBERTO</t>
  </si>
  <si>
    <t>Religión 7°,8°</t>
  </si>
  <si>
    <t>16207545-4</t>
  </si>
  <si>
    <t>MARTINEZ BASSO MATIAS EDUARDO</t>
  </si>
  <si>
    <t>18023208-7</t>
  </si>
  <si>
    <t>MIRANDA PERSICO JAVIER ANDRÉS</t>
  </si>
  <si>
    <t>9242313-1</t>
  </si>
  <si>
    <t>OLEA PAVEZ JAIME EDUARDO</t>
  </si>
  <si>
    <t>9975513-K</t>
  </si>
  <si>
    <t>OLIVARES SOTO MANUEL JESUS</t>
  </si>
  <si>
    <t>19039715-7</t>
  </si>
  <si>
    <t>ORTIZ GURRUCHAGA SEBASTIAN</t>
  </si>
  <si>
    <t>16191528-9</t>
  </si>
  <si>
    <t>OTAROLA MARTINEZ ALBERTO ANTONIO</t>
  </si>
  <si>
    <t>17511382-7</t>
  </si>
  <si>
    <t>PEÑA CARILLO ANDRES ELIAS</t>
  </si>
  <si>
    <t>FIS</t>
  </si>
  <si>
    <t>10948558-6</t>
  </si>
  <si>
    <t>PEREZ HERRERA ROBERTO FRANCISCO</t>
  </si>
  <si>
    <t>19837508-K</t>
  </si>
  <si>
    <t>PUELMA HERNANDEZ GONZALO IGNACIO</t>
  </si>
  <si>
    <t>13258179-7</t>
  </si>
  <si>
    <t>SAA SORICH JULIO ANDRÉS</t>
  </si>
  <si>
    <t>15918746-2</t>
  </si>
  <si>
    <t>SAAVEDRA HERRERA ALAN MAURICIO</t>
  </si>
  <si>
    <t>19687106-3</t>
  </si>
  <si>
    <t>SPIKIN ALAMOS WILFRED ALBERT</t>
  </si>
  <si>
    <t>Distribución de Horas Colegio Huinganal</t>
  </si>
  <si>
    <t>11337603-1</t>
  </si>
  <si>
    <t>ALBORNOZ MATURANA CLAUDIO ANTONIO</t>
  </si>
  <si>
    <t>X</t>
  </si>
  <si>
    <t>17211253-6</t>
  </si>
  <si>
    <t>AMAYA QUIÑONES PABLO ANDRES</t>
  </si>
  <si>
    <t>18635383-8</t>
  </si>
  <si>
    <t>ANDONAEGUI CUEVAS CARLOS JOSÉ</t>
  </si>
  <si>
    <t>17026652-8</t>
  </si>
  <si>
    <t>AZAHARVICH PAREDES ALBERTO NATÁN</t>
  </si>
  <si>
    <t>17486835-2</t>
  </si>
  <si>
    <t>BARRERA FIGUEROA MATIAS IGNACIO</t>
  </si>
  <si>
    <t>Encargado academias y CBC I ciclo</t>
  </si>
  <si>
    <t>17402310-7</t>
  </si>
  <si>
    <t>BERNAL NAVIA MAXIMILIANO JOSE</t>
  </si>
  <si>
    <t>8715625-7</t>
  </si>
  <si>
    <t>BERNAL PEREZ EDUARDO AURELIO</t>
  </si>
  <si>
    <t>17308797-7</t>
  </si>
  <si>
    <t>BOZO CANCINO FRANCISCO SALOMON</t>
  </si>
  <si>
    <t>8488797-8</t>
  </si>
  <si>
    <t>CASTAÑEDA TORRES ERIK PATRICIO</t>
  </si>
  <si>
    <t>QUI</t>
  </si>
  <si>
    <t>18975279-2</t>
  </si>
  <si>
    <t>CASTILLO CONTRERAS CESAR ANDRES</t>
  </si>
  <si>
    <t>18996790-K</t>
  </si>
  <si>
    <t>CASTILLO SILVA NICOLAS IGNACIO</t>
  </si>
  <si>
    <t>Turnos entrada y CBC II ciclo</t>
  </si>
  <si>
    <t>17673408-6</t>
  </si>
  <si>
    <t>CASTRO BARROS CHRISTIAN FERNANDO</t>
  </si>
  <si>
    <t>15414611-3</t>
  </si>
  <si>
    <t>CAYUQUEO YEVILAF JAVIER VICENTE</t>
  </si>
  <si>
    <t>17135571-0</t>
  </si>
  <si>
    <t>CHAVEZ CERDA CRISTIAN ALEJANDRO</t>
  </si>
  <si>
    <t>20001200-3</t>
  </si>
  <si>
    <t>ELGUETA GONZALEZ JOSE MIGUEL</t>
  </si>
  <si>
    <t>9224914-K</t>
  </si>
  <si>
    <t>FIGUEROA DIESEL MAURICIO JOSE</t>
  </si>
  <si>
    <t>Comunicaciones</t>
  </si>
  <si>
    <t>18929590-1</t>
  </si>
  <si>
    <t>GARCIA URZUA ESTEBAN GONZALO</t>
  </si>
  <si>
    <t>20165958-2</t>
  </si>
  <si>
    <t>GOLDENBERG IBAÑEZ AGUSTIN</t>
  </si>
  <si>
    <t>17413764-1</t>
  </si>
  <si>
    <t>GUAJARDO DONOSO MARCO ANTONIO</t>
  </si>
  <si>
    <t>16939814-3</t>
  </si>
  <si>
    <t>HERRERA LARRAIN NICOLAS JOSE</t>
  </si>
  <si>
    <t>Equipo CBC</t>
  </si>
  <si>
    <t>17600588-2</t>
  </si>
  <si>
    <t>IBACETA APABLAZA JAIME IGNACIO</t>
  </si>
  <si>
    <t>10399997-9</t>
  </si>
  <si>
    <t>INFANTE TRONCOSO MAGDALENA MARIA</t>
  </si>
  <si>
    <t>20664867-8</t>
  </si>
  <si>
    <t>LEON MAFFEI VICENTE JOSE</t>
  </si>
  <si>
    <t>7842203-3</t>
  </si>
  <si>
    <t>LEYTON MELLAS ALEJANDRO AMBROSIO</t>
  </si>
  <si>
    <t>Tutorías PAES</t>
  </si>
  <si>
    <t>14631765-0</t>
  </si>
  <si>
    <t>MAGNANO  MARIA LAURA</t>
  </si>
  <si>
    <t>16408656-9</t>
  </si>
  <si>
    <t>MARTINEZ DURAN MARIO ALEXIS</t>
  </si>
  <si>
    <t>16609779-7</t>
  </si>
  <si>
    <t>MC INTYRE CASTRO DONALD BENJAMIN</t>
  </si>
  <si>
    <t>16917712-0</t>
  </si>
  <si>
    <t>MENDEZ IBACETA JOSE IGNACIO</t>
  </si>
  <si>
    <t>13851179-0</t>
  </si>
  <si>
    <t>MEYER BENAVIDES ESTEBAN</t>
  </si>
  <si>
    <t>15971938-3</t>
  </si>
  <si>
    <t>MIRANDA INOSTROZA JORGE ALBERTO</t>
  </si>
  <si>
    <t>15340118-7</t>
  </si>
  <si>
    <t>MORETTI TAPIA JOAQUÍN ADRIAN</t>
  </si>
  <si>
    <t>18608937-5</t>
  </si>
  <si>
    <t>MUÑOZ BUSTAMANTE BRYAN RENE</t>
  </si>
  <si>
    <t>13239242-0</t>
  </si>
  <si>
    <t>MUÑOZ SOTO CRISTIAN JAVIER</t>
  </si>
  <si>
    <t>16753327-2</t>
  </si>
  <si>
    <t>NARVAEZ ORTIZ JUAN GUILLERMO</t>
  </si>
  <si>
    <t>12896720-6</t>
  </si>
  <si>
    <t>NUÑEZ TOBAR JUAN CARLOS</t>
  </si>
  <si>
    <t>15380328-5</t>
  </si>
  <si>
    <t>PARRAGUEZ RUBILAR NICOLAS</t>
  </si>
  <si>
    <t>16882616-8</t>
  </si>
  <si>
    <t>PINO GONZALEZ JOSE ELIAS</t>
  </si>
  <si>
    <t>12851997-1</t>
  </si>
  <si>
    <t>RODRIGUEZ UGARTE CAROLINA</t>
  </si>
  <si>
    <t>10951028-9</t>
  </si>
  <si>
    <t>ROJAS SANCHEZ FELIPE EDUARDO</t>
  </si>
  <si>
    <t>12010853-0</t>
  </si>
  <si>
    <t>ROMO BENITO IVAN EDUARDO</t>
  </si>
  <si>
    <t>19993867-3</t>
  </si>
  <si>
    <t>RUIZ DE LA CALLE BENJAMIN IGNACIO</t>
  </si>
  <si>
    <t>11635703-8</t>
  </si>
  <si>
    <t>SOLO DE ZALDIVAR VERGARA JUAN ANDRES</t>
  </si>
  <si>
    <t>15376852-8</t>
  </si>
  <si>
    <t>TAPIA CORDOVA ROBINSON DAVID</t>
  </si>
  <si>
    <t>11348790-9</t>
  </si>
  <si>
    <t>TAPIA RAMOS OSCAR MAURICIO</t>
  </si>
  <si>
    <t>12853100-9</t>
  </si>
  <si>
    <t>TORRES GARZON JOSE MIGUEL</t>
  </si>
  <si>
    <t>7013101-3</t>
  </si>
  <si>
    <t>UGARTE POBLETE CARLOS MARCELO</t>
  </si>
  <si>
    <t>10855909-8</t>
  </si>
  <si>
    <t>VELASQUEZ PEREZ LUCIA ANGELICA</t>
  </si>
  <si>
    <t>13028235-0</t>
  </si>
  <si>
    <t>ZAVALA DESTEFANI MARCELO ORLANDO</t>
  </si>
  <si>
    <t>18027081-7</t>
  </si>
  <si>
    <t>ZUÑIGA PARRA GUSTAVO IGNACIO</t>
  </si>
  <si>
    <t>Distribución de Horas Colegio Los Alerces</t>
  </si>
  <si>
    <t>19694594-6</t>
  </si>
  <si>
    <t>ALCALDE URRUTIA MACARENA JESUS</t>
  </si>
  <si>
    <t>19243590-0</t>
  </si>
  <si>
    <t>ALLENDES MUNITA CATALINA</t>
  </si>
  <si>
    <t>20075980-K</t>
  </si>
  <si>
    <t>ALVAREZ LAZO CATALINA PAZ</t>
  </si>
  <si>
    <t>16609243-4</t>
  </si>
  <si>
    <t>ANDRIGHETTI ARRAZTOA PATRICIA ANDREA</t>
  </si>
  <si>
    <t>COMUNICACIONES</t>
  </si>
  <si>
    <t>15638765-7</t>
  </si>
  <si>
    <t>ARAYA SALVO CLAUDIA LORENA</t>
  </si>
  <si>
    <t xml:space="preserve">ASIGNACION TECNOLOGÍA + PROYECTO TEC </t>
  </si>
  <si>
    <t>8605080-3</t>
  </si>
  <si>
    <t>ARROYO FERNANDEZ MARIA PAZ</t>
  </si>
  <si>
    <t>16744934-4</t>
  </si>
  <si>
    <t>BAEZA MUNITA FRANCISCA PILAR</t>
  </si>
  <si>
    <t>Biblioteca 5, Computación 11, comunicaciones 5</t>
  </si>
  <si>
    <t>8952465-2</t>
  </si>
  <si>
    <t>BAEZA TORREALBA MAGDALENA</t>
  </si>
  <si>
    <t>8664010-4</t>
  </si>
  <si>
    <t>BARRIENTOS KARMELIC MARCELA</t>
  </si>
  <si>
    <t>15379645-9</t>
  </si>
  <si>
    <t>BARRIGA CHÁVEZ PÍA SOLEDAD</t>
  </si>
  <si>
    <t>CALA 8H Y PORUECTO ORATORIA 4H</t>
  </si>
  <si>
    <t>16612198-1</t>
  </si>
  <si>
    <t>BARROS MÉNDEZ CECILIA</t>
  </si>
  <si>
    <t>19308269-6</t>
  </si>
  <si>
    <t>BATTAGLIA HUMERES ROSARIO</t>
  </si>
  <si>
    <t>ILUMINA</t>
  </si>
  <si>
    <t>19076959-3</t>
  </si>
  <si>
    <t>BOETSCH HEVIA BERNARDITA</t>
  </si>
  <si>
    <t>10661563-2</t>
  </si>
  <si>
    <t>BRAVO TRIVELLI PAULINA</t>
  </si>
  <si>
    <t>TURNOS ENSAYOS PAES</t>
  </si>
  <si>
    <t>13230009-7</t>
  </si>
  <si>
    <t>BRITO ÑANCULAF JESSICA</t>
  </si>
  <si>
    <t>12852614-5</t>
  </si>
  <si>
    <t>BROWNE BRAUN MARIA LUISA</t>
  </si>
  <si>
    <t>16950865-8</t>
  </si>
  <si>
    <t>CAMUS ARAVENA ROMINA</t>
  </si>
  <si>
    <t>MISA</t>
  </si>
  <si>
    <t>15638012-1</t>
  </si>
  <si>
    <t>CARBONE OSSA MACARENA MARIA</t>
  </si>
  <si>
    <t>20665005-2</t>
  </si>
  <si>
    <t>CATHALIFAUD ZILLERUELO FRANCISCA ISABEL</t>
  </si>
  <si>
    <t>16367874-8</t>
  </si>
  <si>
    <t>CHACON LARRAIN MARIA DE LOS ANGELES</t>
  </si>
  <si>
    <t>19955085-3</t>
  </si>
  <si>
    <t>CHAPARRO VELASQUEZ JAVIERA PAZ</t>
  </si>
  <si>
    <t>preescolar</t>
  </si>
  <si>
    <t>PERFECCIONAMIENTO</t>
  </si>
  <si>
    <t>9977535-1</t>
  </si>
  <si>
    <t>CONCHA DE LA CERDA CARMEN GLORIA</t>
  </si>
  <si>
    <t>18024442-5</t>
  </si>
  <si>
    <t>CORREA COSTA MARIA ISABEL</t>
  </si>
  <si>
    <t>19855566-5</t>
  </si>
  <si>
    <t>CORREA EVANS MARIA IGNACIA</t>
  </si>
  <si>
    <t>MAS</t>
  </si>
  <si>
    <t>17408074-7</t>
  </si>
  <si>
    <t>CORREA FERRER MARIA PAZ</t>
  </si>
  <si>
    <t>COORD PAES LENG</t>
  </si>
  <si>
    <t>18933548-2</t>
  </si>
  <si>
    <t>COX COSTABAL MARIA ELISA</t>
  </si>
  <si>
    <t>16606601-8</t>
  </si>
  <si>
    <t>CRUZ MAC-KELLAR VALENTINA</t>
  </si>
  <si>
    <t>12242437-5</t>
  </si>
  <si>
    <t>CRUZAT SILVA PAULA MARÍA</t>
  </si>
  <si>
    <t>Epc</t>
  </si>
  <si>
    <t>18464566-1</t>
  </si>
  <si>
    <t>CUBILLOS VILLARROEL IVANIA ANDREA</t>
  </si>
  <si>
    <t>12722066-2</t>
  </si>
  <si>
    <t>DE LA CERDA ERRÁZURIZ MARÍA SOLEDAD</t>
  </si>
  <si>
    <t>Acad. y Form.</t>
  </si>
  <si>
    <t>16101909-7</t>
  </si>
  <si>
    <t>DOMINGUEZ GONZALEZ BERNARDITA</t>
  </si>
  <si>
    <t>19246414-5</t>
  </si>
  <si>
    <t>DONOSO DONOSO MARÍA JESÚS</t>
  </si>
  <si>
    <t>16608630-2</t>
  </si>
  <si>
    <t>DUHART DÍAZ MARÍA DE LOS ANGELES</t>
  </si>
  <si>
    <t>13598247-4</t>
  </si>
  <si>
    <t>ESPINA ARANCIBIA CAROL JUDITH</t>
  </si>
  <si>
    <t>17118921-7</t>
  </si>
  <si>
    <t>FERNANDEZ DEL RIO LARRAIN MARIA ROSARIO</t>
  </si>
  <si>
    <t>VOCES ALERCINAS</t>
  </si>
  <si>
    <t>10830516-9</t>
  </si>
  <si>
    <t>FIGUEROA FISCHER MARIA LUISA</t>
  </si>
  <si>
    <t>19079996-4</t>
  </si>
  <si>
    <t>GALILEA FERNANDEZ MARIA JOSEFINA</t>
  </si>
  <si>
    <t>20071923-9</t>
  </si>
  <si>
    <t>GARCIA DE LA CRUZ DOMINGA MARÍA</t>
  </si>
  <si>
    <t>17265816-4</t>
  </si>
  <si>
    <t>GONZALEZ CRUZ MARIA EUGENIA</t>
  </si>
  <si>
    <t>19893683-9</t>
  </si>
  <si>
    <t>GRANESE MARTINEZ JOSEFINA</t>
  </si>
  <si>
    <t>12489364-K</t>
  </si>
  <si>
    <t>GUERRERO QUINTEROS LAURA VICTORIA</t>
  </si>
  <si>
    <t>16213208-3</t>
  </si>
  <si>
    <t>GUTIERREZ UNDURRAGA VIRGINIA</t>
  </si>
  <si>
    <t>20071454-7</t>
  </si>
  <si>
    <t>HERRERA ARENAS CARMEN LUZ</t>
  </si>
  <si>
    <t>19080752-5</t>
  </si>
  <si>
    <t>INFANTE LARRAÍN ANTONIA</t>
  </si>
  <si>
    <t>18662983-3</t>
  </si>
  <si>
    <t>IRARRAZAVAL BULNES TERESITA MARIA</t>
  </si>
  <si>
    <t>18639336-8</t>
  </si>
  <si>
    <t>IRARRAZAVAL DE LA CERDA MAGDALENA</t>
  </si>
  <si>
    <t>PEAS</t>
  </si>
  <si>
    <t>16365780-5</t>
  </si>
  <si>
    <t>IZQUIERDO BACARREZA ÁNGELA</t>
  </si>
  <si>
    <t>16485081-1</t>
  </si>
  <si>
    <t>KLENNER BLACK DANIELA  ALEJANDRA</t>
  </si>
  <si>
    <t>MT</t>
  </si>
  <si>
    <t>20185342-7</t>
  </si>
  <si>
    <t>LARENAS HORNAHUER ISIDORA VERENA</t>
  </si>
  <si>
    <t>16213144-3</t>
  </si>
  <si>
    <t>LARRAIN ARNOLDS MARÍA JOSE</t>
  </si>
  <si>
    <t>PROYECTO BILINGüISMO Y MT5° Y6°</t>
  </si>
  <si>
    <t>19243545-5</t>
  </si>
  <si>
    <t>LARRAIN COVARRUBIAS MARIA MAGDALENA</t>
  </si>
  <si>
    <t>19322683-3</t>
  </si>
  <si>
    <t>LIRA FIGUEROA FRANCISCA MARÍA</t>
  </si>
  <si>
    <t>18395551-9</t>
  </si>
  <si>
    <t>MACIAS RIVEROS JAVIERA PAZ</t>
  </si>
  <si>
    <t>19322785-6</t>
  </si>
  <si>
    <t>MARABOLI-QUEZADA CONCHA MARIA JOSEFINA</t>
  </si>
  <si>
    <t>17768067-2</t>
  </si>
  <si>
    <t>MARQUEZ BOBADILLA VALENTINA LORETO</t>
  </si>
  <si>
    <t>REMA</t>
  </si>
  <si>
    <t>20622345-6</t>
  </si>
  <si>
    <t>MARTENS RIUMALLÓ TERESITA</t>
  </si>
  <si>
    <t>16847968-9</t>
  </si>
  <si>
    <t>MAURIN GARCÍA CECILIA ALEJANDRA</t>
  </si>
  <si>
    <t>13068258-8</t>
  </si>
  <si>
    <t>MAYOL BRIERLEY BARBARA</t>
  </si>
  <si>
    <t>17700946-6</t>
  </si>
  <si>
    <t>MENDEZ MACKENNA MARIA JOSE</t>
  </si>
  <si>
    <t>ENGLISH MEETING 4H</t>
  </si>
  <si>
    <t>13828743-2</t>
  </si>
  <si>
    <t>MILNES EGUIGUREN MARIA LUISA</t>
  </si>
  <si>
    <t>9577696-5</t>
  </si>
  <si>
    <t>MIRANDA PIUMARTA ROSA MARÍA</t>
  </si>
  <si>
    <t>12030365-1</t>
  </si>
  <si>
    <t>MORA COVOS CAMILA MARIA</t>
  </si>
  <si>
    <t>15095681-1</t>
  </si>
  <si>
    <t>NIETO ORRIOLS CAROLINA</t>
  </si>
  <si>
    <t>15336055-3</t>
  </si>
  <si>
    <t>OGAZ SOTOMAYOR NATALIA CATALINA</t>
  </si>
  <si>
    <t>8851646-K</t>
  </si>
  <si>
    <t>POBLETE INFANTE CARMEN CECILIA</t>
  </si>
  <si>
    <t>18462901-1</t>
  </si>
  <si>
    <t>POBLETE REYES ANA MARIA</t>
  </si>
  <si>
    <t>20074689-9</t>
  </si>
  <si>
    <t>RECHER MONTAL ANNA</t>
  </si>
  <si>
    <t xml:space="preserve"> ENGLISH MEETING 4H</t>
  </si>
  <si>
    <t>11472554-4</t>
  </si>
  <si>
    <t>RODRIGUEZ CAMPUSANO MARÍA FRANCISCA</t>
  </si>
  <si>
    <t>18022968-K</t>
  </si>
  <si>
    <t>RODRIGUEZ SAAVEDRA MARIA ALEJANDRA</t>
  </si>
  <si>
    <t>20071813-5</t>
  </si>
  <si>
    <t>ROLLE PÉREZ MARÍA PAZ</t>
  </si>
  <si>
    <t>20427924-1</t>
  </si>
  <si>
    <t>ROSSI BROTFELD JOSEFINA</t>
  </si>
  <si>
    <t>16655204-4</t>
  </si>
  <si>
    <t>SARMIENTO VACCARO DANIELA</t>
  </si>
  <si>
    <t>18165147-4</t>
  </si>
  <si>
    <t>SERRANO FERRER ALEJANDRA</t>
  </si>
  <si>
    <t>20108759-7</t>
  </si>
  <si>
    <t>SIERRA RAMIREZ PIA FRANCISCA</t>
  </si>
  <si>
    <t>18642175-2</t>
  </si>
  <si>
    <t>SILVA VALENZUELA SOFIA</t>
  </si>
  <si>
    <t>14640620-3</t>
  </si>
  <si>
    <t>SIPKOVA SKOLOVA JANKA</t>
  </si>
  <si>
    <t>ENGLISH MEETING Y MT</t>
  </si>
  <si>
    <t>10238798-8</t>
  </si>
  <si>
    <t>SOTO MORAGA LORENA PAOLA</t>
  </si>
  <si>
    <t>9380242-K</t>
  </si>
  <si>
    <t>SWETT ERRAZURIZ MARIA CAROLINA</t>
  </si>
  <si>
    <t>PAES / CONVIVENCIA ESCOLAR</t>
  </si>
  <si>
    <t>18023895-6</t>
  </si>
  <si>
    <t>TOLOSA GEHRUNG MARÍA JESÚS</t>
  </si>
  <si>
    <t>16097380-3</t>
  </si>
  <si>
    <t>UGARTE VASQUEZ PAULA</t>
  </si>
  <si>
    <t>10088934-K</t>
  </si>
  <si>
    <t>UNDURRAGA BARASORDA CATALINA GEMITA</t>
  </si>
  <si>
    <t>20806646-3</t>
  </si>
  <si>
    <t>VALDES CASTRO MARIA JOSE</t>
  </si>
  <si>
    <t>JEFAS DE BARRA</t>
  </si>
  <si>
    <t>19891736-2</t>
  </si>
  <si>
    <t>VALENZUELA DACRE LUCIA CATALINA</t>
  </si>
  <si>
    <t>19079157-2</t>
  </si>
  <si>
    <t>VALENZUELA ECHENIQUE MARÍA JESÚS</t>
  </si>
  <si>
    <t>13882294-K</t>
  </si>
  <si>
    <t>VERDUGO CUNLIFFE FRANCISCA MARÍA</t>
  </si>
  <si>
    <t>18639231-0</t>
  </si>
  <si>
    <t>VERGARA RODRÍGUEZ FRANCISCA</t>
  </si>
  <si>
    <t>20428038-K</t>
  </si>
  <si>
    <t>VIAL CORREA MARIA ELISA</t>
  </si>
  <si>
    <t>9843870-K</t>
  </si>
  <si>
    <t>VIAL CRUZ MARIA PAZ</t>
  </si>
  <si>
    <t>SIGE 15H, EVENTOS LITURGICOS 5H, TURNO PAES 2</t>
  </si>
  <si>
    <t>18394584-K</t>
  </si>
  <si>
    <t>VIAL MONTERO CONSTANZA TERESA</t>
  </si>
  <si>
    <t>19540723-1</t>
  </si>
  <si>
    <t>VIVES ANSTED MARÍA AMALIA</t>
  </si>
  <si>
    <t>CO-TEACHER 8H. &amp; ENGLISH MEETING 4H</t>
  </si>
  <si>
    <t>8325870-5</t>
  </si>
  <si>
    <t>VIZCAYA ALTAMIRANO MARÍA BEATRIZ</t>
  </si>
  <si>
    <t>Distribución de Horas Colegio Huelén</t>
  </si>
  <si>
    <t>8545295-9</t>
  </si>
  <si>
    <t>AGUERO AGUIRRE FRANCISCA</t>
  </si>
  <si>
    <t>23907633-5</t>
  </si>
  <si>
    <t>AGUILAR PINTO BEATRIZ MARIA</t>
  </si>
  <si>
    <t>Hitos religiosos</t>
  </si>
  <si>
    <t>16941126-3</t>
  </si>
  <si>
    <t>ALCALDE PAGE MARIA JESUS</t>
  </si>
  <si>
    <t>Preparacion material</t>
  </si>
  <si>
    <t>23397333-5</t>
  </si>
  <si>
    <t>ALDRETE NORIEGA EUGENIA GUADALUPE</t>
  </si>
  <si>
    <t>11827690-6</t>
  </si>
  <si>
    <t>AMIGO GODOY PAOLA</t>
  </si>
  <si>
    <t>16100312-3</t>
  </si>
  <si>
    <t>ANINAT GALMEZ JAVIERA</t>
  </si>
  <si>
    <t>Preparacion material y floating</t>
  </si>
  <si>
    <t>18121938-6</t>
  </si>
  <si>
    <t>ARANEDA BOHM FRANCISCA JAVIERA</t>
  </si>
  <si>
    <t>9608677-6</t>
  </si>
  <si>
    <t>ARENAS ARRATIA ELIA DEL CARMEN</t>
  </si>
  <si>
    <t>Otros</t>
  </si>
  <si>
    <t>19322464-4</t>
  </si>
  <si>
    <t>ARTIGAS CORDERO BERNARDITA</t>
  </si>
  <si>
    <t>19247118-4</t>
  </si>
  <si>
    <t>ASTABURUAGA BRISEÑO MARIA DEL ROSARIO</t>
  </si>
  <si>
    <t>15637761-9</t>
  </si>
  <si>
    <t>AVILES SCHMIDT GRACIA</t>
  </si>
  <si>
    <t>19688993-0</t>
  </si>
  <si>
    <t>AYESTARAN IRARRAZAVAL MARIA JESUS</t>
  </si>
  <si>
    <t>16938524-6</t>
  </si>
  <si>
    <t>BENAVENTE ROJAS MARIA JOSE</t>
  </si>
  <si>
    <t>9000377-1</t>
  </si>
  <si>
    <t>BENGOA CONCHA MARISOL INES</t>
  </si>
  <si>
    <t>7012994-9</t>
  </si>
  <si>
    <t>BEZANILLA LAREE MARCELA PAZ</t>
  </si>
  <si>
    <t>13191431-8</t>
  </si>
  <si>
    <t>BLAZQUEZ LAVIN MACARENA EUGENIA</t>
  </si>
  <si>
    <t>19687490-9</t>
  </si>
  <si>
    <t>BOLZMANN CAVE TRINIDAD</t>
  </si>
  <si>
    <t>8483301-0</t>
  </si>
  <si>
    <t>BURGOS JARAMILLO EUGENIA ANDREA</t>
  </si>
  <si>
    <t>Canto Misa</t>
  </si>
  <si>
    <t>19891996-9</t>
  </si>
  <si>
    <t>CALAF VASQUEZ MAGDALENA</t>
  </si>
  <si>
    <t>16210699-6</t>
  </si>
  <si>
    <t>CANALES RUIZ-TAGLE CATALINA</t>
  </si>
  <si>
    <t>16658719-0</t>
  </si>
  <si>
    <t>CARLEVARINO GORZIGLIA CAMILA</t>
  </si>
  <si>
    <t>13820423-5</t>
  </si>
  <si>
    <t>CONTRERAS PEÑA ANGELICA MARIA</t>
  </si>
  <si>
    <t>7060456-6</t>
  </si>
  <si>
    <t>CORREA BASCUÑAN BLANCA SOFIA</t>
  </si>
  <si>
    <t>14472504-2</t>
  </si>
  <si>
    <t>CORREA LIRA NATALIA</t>
  </si>
  <si>
    <t>20299752-K</t>
  </si>
  <si>
    <t>COX SWINBURN MARÍA JESÚS</t>
  </si>
  <si>
    <t>17930970-K</t>
  </si>
  <si>
    <t>CRUZ GUTIERREZ MARIA FERNANDA</t>
  </si>
  <si>
    <t>19638733-1</t>
  </si>
  <si>
    <t>CRUZ MCINTYRE MARÍA ELISA</t>
  </si>
  <si>
    <t>Biblioteca</t>
  </si>
  <si>
    <t>10328446-5</t>
  </si>
  <si>
    <t>DOMINGUEZ ROJAS BERNARDITA MARIA</t>
  </si>
  <si>
    <t>10634872-3</t>
  </si>
  <si>
    <t>ECHENIQUE CORREA MARIA GERTRUDIS</t>
  </si>
  <si>
    <t>15313893-1</t>
  </si>
  <si>
    <t>ERRAZURIZ ALMARZA MARIA DE LA LUZ</t>
  </si>
  <si>
    <t>Jefas barra</t>
  </si>
  <si>
    <t>18393670-0</t>
  </si>
  <si>
    <t>FERNANDEZ RUIZ-TAGLE MARIA BERNARDITA</t>
  </si>
  <si>
    <t>17084718-0</t>
  </si>
  <si>
    <t>FUENZALIDA FERNANDEZ MARIA JOSE</t>
  </si>
  <si>
    <t>16369584-7</t>
  </si>
  <si>
    <t>FUENZALIDA MOLLINGER CAMILA</t>
  </si>
  <si>
    <t>17084553-6</t>
  </si>
  <si>
    <t>GANTZ VIVES MARIA JOSE</t>
  </si>
  <si>
    <t>8820697-5</t>
  </si>
  <si>
    <t>GAZZELLA RODRIGUEZ ELENA MARIA</t>
  </si>
  <si>
    <t>Apoyo tecnología</t>
  </si>
  <si>
    <t>7037588-5</t>
  </si>
  <si>
    <t>GONZALEZ ALONSO MARÍA SOLEDAD</t>
  </si>
  <si>
    <t>14122811-0</t>
  </si>
  <si>
    <t>GUZMAN PEREZ FRANCISCA</t>
  </si>
  <si>
    <t>19893181-0</t>
  </si>
  <si>
    <t>HERRERA CORREA JACINTA</t>
  </si>
  <si>
    <t>19244844-1</t>
  </si>
  <si>
    <t>INFANTE DUSSAILLANT PAULA</t>
  </si>
  <si>
    <t>16095553-8</t>
  </si>
  <si>
    <t>IRARRAZAVAL UNDURRAGA MARIA CECILIA</t>
  </si>
  <si>
    <t>-</t>
  </si>
  <si>
    <t>10617219-6</t>
  </si>
  <si>
    <t>JARA PARRA MARGARITA FRANCISCA</t>
  </si>
  <si>
    <t>19400957-7</t>
  </si>
  <si>
    <t>LAVIN CUEVAS CATALINA</t>
  </si>
  <si>
    <t>17085313-K</t>
  </si>
  <si>
    <t>LAVIN TOCORNAL MAGDALENA</t>
  </si>
  <si>
    <t>19954981-2</t>
  </si>
  <si>
    <t>LICANDEO BUSTAMANTE CATALINA ROCÍO</t>
  </si>
  <si>
    <t>17406079-7</t>
  </si>
  <si>
    <t>MACKENNEY RATINOFF DANIELA</t>
  </si>
  <si>
    <t>14119488-7</t>
  </si>
  <si>
    <t>MENDEZ VILLAVICENCIO ISABEL MARGARITA</t>
  </si>
  <si>
    <t>12455111-0</t>
  </si>
  <si>
    <t>MUNITA BENNETT ANGELICA</t>
  </si>
  <si>
    <t>8399877-6</t>
  </si>
  <si>
    <t>MUZARD TROTTER FRANCISCA</t>
  </si>
  <si>
    <t>7869099-2</t>
  </si>
  <si>
    <t>NUÑEZ BULICICH XIMENA ALEJANDRA</t>
  </si>
  <si>
    <t>17087356-4</t>
  </si>
  <si>
    <t>OVALLE CORREA MARIA CONSTANZA</t>
  </si>
  <si>
    <t>15638830-0</t>
  </si>
  <si>
    <t>PEREZ JARPA MARIA JESUS</t>
  </si>
  <si>
    <t>10929780-1</t>
  </si>
  <si>
    <t>PINTO RAMÍREZ MARCELA ANGELA</t>
  </si>
  <si>
    <t>Material</t>
  </si>
  <si>
    <t>16365403-2</t>
  </si>
  <si>
    <t>POZO ASTABURUAGA LUZ MARIA</t>
  </si>
  <si>
    <t>Sustentabilidad</t>
  </si>
  <si>
    <t>18026021-8</t>
  </si>
  <si>
    <t>QUIROGA IRARRAZAVAL BERNARDITA</t>
  </si>
  <si>
    <t>7412763-0</t>
  </si>
  <si>
    <t>READY SALAMÉ ANA PAOLA</t>
  </si>
  <si>
    <t>17596874-1</t>
  </si>
  <si>
    <t>RICHAUD HIZA CONSTANZA PAMELA</t>
  </si>
  <si>
    <t>19618182-2</t>
  </si>
  <si>
    <t>ROSSI HIGUERAS DANIELA FRANCESCA</t>
  </si>
  <si>
    <t>15378088-9</t>
  </si>
  <si>
    <t>RUIZ FABRES MARIA DEL PILAR</t>
  </si>
  <si>
    <t>15638101-2</t>
  </si>
  <si>
    <t>SALVESTRINI DE LA LASTRA MARIA LUISA</t>
  </si>
  <si>
    <t>10032587-K</t>
  </si>
  <si>
    <t>SANHUEZA LIRA CLAUDIA ARIELA</t>
  </si>
  <si>
    <t>NEE ingles</t>
  </si>
  <si>
    <t>8127358-8</t>
  </si>
  <si>
    <t>SOTO ORELLANA ELIZABETH DEL CARMEN</t>
  </si>
  <si>
    <t>15641203-1</t>
  </si>
  <si>
    <t>SWETT ASPILLAGA ANA MARIA</t>
  </si>
  <si>
    <t>25381828-K</t>
  </si>
  <si>
    <t>TAFUR ANGULO MARIA LAURA</t>
  </si>
  <si>
    <t>8641375-2</t>
  </si>
  <si>
    <t>TORNERO MARIN MARIA FRANCISCA</t>
  </si>
  <si>
    <t>16303294-5</t>
  </si>
  <si>
    <t>TORNINI KRUSE CLAUDIA ANDREA</t>
  </si>
  <si>
    <t>19567858-8</t>
  </si>
  <si>
    <t>TORREALBA MATURANA MARIA IGNACIA</t>
  </si>
  <si>
    <t>10686940-5</t>
  </si>
  <si>
    <t>TORRES GUZMAN CAROLINA ALEJANDRA</t>
  </si>
  <si>
    <t>15936772-K</t>
  </si>
  <si>
    <t>URQUIETA GALVEZ CARLA ALEJANDRA</t>
  </si>
  <si>
    <t>10660028-7</t>
  </si>
  <si>
    <t>URRUTIA LATORRE ANA MARIA</t>
  </si>
  <si>
    <t>20444010-7</t>
  </si>
  <si>
    <t>VALDES AMENABAR JUANITA</t>
  </si>
  <si>
    <t>18933503-2</t>
  </si>
  <si>
    <t>VALDIVIESO TAGLE VERONICA DE LOURDES</t>
  </si>
  <si>
    <t>20164182-9</t>
  </si>
  <si>
    <t>VALENZUELA ALLENDE MARIA JOSE</t>
  </si>
  <si>
    <t>10 hrs Accion social</t>
  </si>
  <si>
    <t>6190716-5</t>
  </si>
  <si>
    <t>VERA GONZÁLEZ MARÍA CAROLINA</t>
  </si>
  <si>
    <t>16513065-0</t>
  </si>
  <si>
    <t>VILLENA AVENDAÑO SUSANA ELIZABETH</t>
  </si>
  <si>
    <t>Hotas Lectivas asigna 1</t>
  </si>
  <si>
    <t>Hotas Lectivas asigna 2</t>
  </si>
  <si>
    <t>Hotas Lectivas asigna 3</t>
  </si>
  <si>
    <t>Hotas Lectivas Electivos</t>
  </si>
  <si>
    <t>Horas Acompañamiento / Co-teacher</t>
  </si>
  <si>
    <t>HL/HT</t>
  </si>
  <si>
    <t>HNL/HT</t>
  </si>
  <si>
    <t>16938867-9</t>
  </si>
  <si>
    <t>ACOSTA ARANCIBIA FABIAN ANDRES</t>
  </si>
  <si>
    <t>General</t>
  </si>
  <si>
    <t>Inspector</t>
  </si>
  <si>
    <t>18357492-2</t>
  </si>
  <si>
    <t>ALARCON MARCHANT SEBASTIAN LUIS</t>
  </si>
  <si>
    <t>16252215-9</t>
  </si>
  <si>
    <t>ALVAREZ PEREZ MOISES ALEJANDRO</t>
  </si>
  <si>
    <t>20445709-3</t>
  </si>
  <si>
    <t>AMUNATEGUI BALMACEDA ANDRÉS</t>
  </si>
  <si>
    <t>16016610-K</t>
  </si>
  <si>
    <t>ASPILLAGA HURTADO CLAUDIO ALBERTO</t>
  </si>
  <si>
    <t>19438217-0</t>
  </si>
  <si>
    <t>BERNSTEIN PRECHT NICOLAS</t>
  </si>
  <si>
    <t>10601447-7</t>
  </si>
  <si>
    <t>BUSTAMANTE CRUCHAGA ANDRES LUIS</t>
  </si>
  <si>
    <t>18308269-8</t>
  </si>
  <si>
    <t>CARVAJAL RAMIREZ MATIAS JOSE</t>
  </si>
  <si>
    <t>20430847-0</t>
  </si>
  <si>
    <t>CHARLIN DELPORTE SEBASTIAN</t>
  </si>
  <si>
    <t>19134766-8</t>
  </si>
  <si>
    <t>CUELLAR TAPIA BENJAMIN JESUS</t>
  </si>
  <si>
    <t>16661230-6</t>
  </si>
  <si>
    <t>DEL PINO FERNANDEZ SEBASTIAN IGNACIO</t>
  </si>
  <si>
    <t>21030521-1</t>
  </si>
  <si>
    <t>FUENZALIDA IZQUIERDO SANTIAGO</t>
  </si>
  <si>
    <t>18904996-K</t>
  </si>
  <si>
    <t>HENRIQUEZ MIRANDA NICOLAS IGNACIO</t>
  </si>
  <si>
    <t>20238781-0</t>
  </si>
  <si>
    <t>IBACACHE CAMPOS ALONSO SALVADOR</t>
  </si>
  <si>
    <t>19688114-K</t>
  </si>
  <si>
    <t>JOHNSON LUCO JAVIER</t>
  </si>
  <si>
    <t>Tutorías lectoras 22 horas semanales</t>
  </si>
  <si>
    <t>17404935-1</t>
  </si>
  <si>
    <t>LABRA PASTINE MATIAS JAVIER</t>
  </si>
  <si>
    <t>19348990-7</t>
  </si>
  <si>
    <t>LAGOMARSINO CASTALDI MARIO ESTEFANO</t>
  </si>
  <si>
    <t>18935006-6</t>
  </si>
  <si>
    <t>LETELIER RUIZ JUAN PABLO</t>
  </si>
  <si>
    <t>EPC (2do semestre)</t>
  </si>
  <si>
    <t>19241256-0</t>
  </si>
  <si>
    <t>MALDONADO TUDELA SEBASTIAN ALEXIS</t>
  </si>
  <si>
    <t>18953623-2</t>
  </si>
  <si>
    <t>MORALES PAGE JOSE-PABLO</t>
  </si>
  <si>
    <t>12244808-8</t>
  </si>
  <si>
    <t>OLIVARES SALAS CHRISTIAN ALFREDO</t>
  </si>
  <si>
    <t>6065547-2</t>
  </si>
  <si>
    <t>OVALLE VALDIVIESO ANDRES RAFAEL</t>
  </si>
  <si>
    <t>9153717-6</t>
  </si>
  <si>
    <t>OVIEDO SEGUEL MAURICIO TOMAS</t>
  </si>
  <si>
    <t>15715608-K</t>
  </si>
  <si>
    <t>PARRAGUEZ RUBILAR SEBASTIAN ALEJANDRO</t>
  </si>
  <si>
    <t>18768433-1</t>
  </si>
  <si>
    <t>PEREZ COUSIÑO MATIAS</t>
  </si>
  <si>
    <t>10506708-9</t>
  </si>
  <si>
    <t>PUEBLA TORRES RODRIGO</t>
  </si>
  <si>
    <t>8668648-1</t>
  </si>
  <si>
    <t>RIQUELME MUÑOZ CARLOS ERNESTO</t>
  </si>
  <si>
    <t>11542103-4</t>
  </si>
  <si>
    <t>SALGADO RODRIGUEZ OSCAR PATRICIO</t>
  </si>
  <si>
    <t>Orquesta, arreglos musicales, Encargado Talleres instrumentos</t>
  </si>
  <si>
    <t>16964976-6</t>
  </si>
  <si>
    <t>SAN MARTIN VARELA ARIEL ALEJANDRO</t>
  </si>
  <si>
    <t>9586945-9</t>
  </si>
  <si>
    <t>SILVA BARRAZA RODRIGO ALEJANDRO</t>
  </si>
  <si>
    <t>20431761-5</t>
  </si>
  <si>
    <t>SPIKIN ALAMOS ARTURO</t>
  </si>
  <si>
    <t>8965383-5</t>
  </si>
  <si>
    <t>STAMBUK MARDONES MARIO ANTONIO</t>
  </si>
  <si>
    <t>9030198-5</t>
  </si>
  <si>
    <t>THIEME ESPINOZA CLAUDIO ARTURO</t>
  </si>
  <si>
    <t>17270680-0</t>
  </si>
  <si>
    <t>UNDURRAGA ZEGERS IÑIGO</t>
  </si>
  <si>
    <t>16357207-9</t>
  </si>
  <si>
    <t>VELASCO ESPINOZA JORGE GRACIAN</t>
  </si>
  <si>
    <t>17403674-8</t>
  </si>
  <si>
    <t>CALVERT CAMUS LUZ MARIA</t>
  </si>
  <si>
    <t>8840441-6</t>
  </si>
  <si>
    <t>CONTRERAS ETCHEPARE CLAUDIA</t>
  </si>
  <si>
    <t>19246375-0</t>
  </si>
  <si>
    <t>ELLIS ESCUDERO ANTONIA</t>
  </si>
  <si>
    <t>7046855-7</t>
  </si>
  <si>
    <t>HONORATO CELIS MARIA TERESA</t>
  </si>
  <si>
    <t>19689896-4</t>
  </si>
  <si>
    <t>MATTE VON APPEN MARIA IGNACIA</t>
  </si>
  <si>
    <t>15381336-1</t>
  </si>
  <si>
    <t>ORTUZAR VERGARA TERESITA DE JESUS</t>
  </si>
  <si>
    <t>16371643-7</t>
  </si>
  <si>
    <t>PELLEGRINI BRAVO VALERIA ANDREA</t>
  </si>
  <si>
    <t>18390714-K</t>
  </si>
  <si>
    <t>PEREZ DE ARCE LIRA BERNARDITA</t>
  </si>
  <si>
    <t>17365855-9</t>
  </si>
  <si>
    <t>RODRIGUEZ BARROS MARIA CAROLINA</t>
  </si>
  <si>
    <t>Otras cron</t>
  </si>
  <si>
    <t>HL</t>
  </si>
  <si>
    <t>HNL</t>
  </si>
  <si>
    <t>CORO</t>
  </si>
  <si>
    <t>Paradocente</t>
  </si>
  <si>
    <t>Incluye turnos lectura en HL</t>
  </si>
  <si>
    <t>Faltan 10 hrs jefatura</t>
  </si>
  <si>
    <t>Sobran 6 hrs Form/asamb</t>
  </si>
  <si>
    <t>Faltan 24 hrs tutoría</t>
  </si>
  <si>
    <t>SB</t>
  </si>
  <si>
    <t>VH</t>
  </si>
  <si>
    <t>HTP cronológicas</t>
  </si>
  <si>
    <t>Otras no Doc cronológicas</t>
  </si>
  <si>
    <t>HNL cronológicas</t>
  </si>
  <si>
    <t>Sin Pree</t>
  </si>
  <si>
    <t>Sin pree</t>
  </si>
  <si>
    <t>Deben revisarse las horas de planificación en EGB, ya que en general son mucho más que lo que corresponde. Pueden estar incluyendo hora de acompañamiento que no aparecen, ya que se observa una proporción muy baja de horas lectivas.</t>
  </si>
  <si>
    <t>(*)</t>
  </si>
  <si>
    <t>casi no hace clases</t>
  </si>
  <si>
    <t>Debe revisarse la distribución de las horas en Preescolar, ya que también rige la restricción de que las Horas Lectivas no deben sobrepasar el 65%.</t>
  </si>
  <si>
    <t>Se hicieron ajustes en horas de formación, oratorio, asamblea y extraprogramáticas.</t>
  </si>
  <si>
    <t xml:space="preserve">En EGB </t>
  </si>
  <si>
    <t>Preparacion material y 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</si>
</sst>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 #,##0_ ;_ * \-#,##0_ ;_ * &quot;-&quot;_ ;_ @_ "/>
    <numFmt numFmtId="164" formatCode="#,##0.0"/>
    <numFmt numFmtId="165" formatCode="0.0"/>
    <numFmt numFmtId="166" formatCode="[$$]#,##0"/>
    <numFmt numFmtId="167" formatCode="_ * #,##0.00_ ;_ * \-#,##0.00_ ;_ * &quot;-&quot;_ ;_ @_ "/>
    <numFmt numFmtId="168" formatCode="_ * #,##0.0_ ;_ * \-#,##0.0_ ;_ * &quot;-&quot;_ ;_ @_ "/>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0"/>
      <color theme="1"/>
      <name val="Calibri"/>
      <family val="2"/>
    </font>
    <font>
      <b/>
      <sz val="10"/>
      <color theme="1"/>
      <name val="Calibri"/>
      <family val="2"/>
    </font>
    <font>
      <b/>
      <sz val="11"/>
      <color rgb="FF000000"/>
      <name val="Calibri"/>
      <family val="2"/>
    </font>
    <font>
      <sz val="11"/>
      <color rgb="FFFF0000"/>
      <name val="Calibri"/>
      <family val="2"/>
    </font>
    <font>
      <b/>
      <sz val="9"/>
      <color indexed="81"/>
      <name val="Tahoma"/>
      <family val="2"/>
    </font>
    <font>
      <sz val="9"/>
      <color indexed="81"/>
      <name val="Tahoma"/>
      <family val="2"/>
    </font>
    <font>
      <b/>
      <sz val="16"/>
      <color theme="1"/>
      <name val="Calibri"/>
      <family val="2"/>
    </font>
    <font>
      <sz val="11"/>
      <color rgb="FF000000"/>
      <name val="Calibri"/>
      <family val="2"/>
    </font>
    <font>
      <b/>
      <sz val="10"/>
      <color theme="1"/>
      <name val="Calibri"/>
      <family val="2"/>
      <scheme val="minor"/>
    </font>
    <font>
      <sz val="10"/>
      <color theme="1"/>
      <name val="Calibri"/>
      <family val="2"/>
      <scheme val="minor"/>
    </font>
    <font>
      <b/>
      <sz val="16"/>
      <color theme="1"/>
      <name val="Calibri"/>
      <family val="2"/>
      <scheme val="minor"/>
    </font>
    <font>
      <sz val="8"/>
      <color theme="1"/>
      <name val="Calibri"/>
      <family val="2"/>
      <scheme val="minor"/>
    </font>
    <font>
      <sz val="9"/>
      <color theme="1"/>
      <name val="Calibri"/>
      <family val="2"/>
    </font>
    <font>
      <b/>
      <sz val="14"/>
      <color theme="1"/>
      <name val="Calibri"/>
      <family val="2"/>
    </font>
    <font>
      <sz val="14"/>
      <color theme="1"/>
      <name val="Calibri"/>
      <family val="2"/>
    </font>
    <font>
      <sz val="14"/>
      <color theme="1"/>
      <name val="Calibri"/>
      <family val="2"/>
      <scheme val="minor"/>
    </font>
    <font>
      <sz val="10"/>
      <name val="Calibri"/>
      <family val="2"/>
    </font>
    <font>
      <sz val="12"/>
      <color theme="1"/>
      <name val="Calibri"/>
      <family val="2"/>
      <scheme val="minor"/>
    </font>
  </fonts>
  <fills count="30">
    <fill>
      <patternFill patternType="none"/>
    </fill>
    <fill>
      <patternFill patternType="gray125"/>
    </fill>
    <fill>
      <patternFill patternType="solid">
        <fgColor rgb="FFF7CAAC"/>
        <bgColor rgb="FFF7CAAC"/>
      </patternFill>
    </fill>
    <fill>
      <patternFill patternType="solid">
        <fgColor rgb="FFC5E0B3"/>
        <bgColor rgb="FFC5E0B3"/>
      </patternFill>
    </fill>
    <fill>
      <patternFill patternType="solid">
        <fgColor rgb="FFB4C6E7"/>
        <bgColor rgb="FFB4C6E7"/>
      </patternFill>
    </fill>
    <fill>
      <patternFill patternType="solid">
        <fgColor rgb="FFFFE598"/>
        <bgColor rgb="FFFFE598"/>
      </patternFill>
    </fill>
    <fill>
      <patternFill patternType="solid">
        <fgColor rgb="FFD8D8D8"/>
        <bgColor rgb="FFD8D8D8"/>
      </patternFill>
    </fill>
    <fill>
      <patternFill patternType="solid">
        <fgColor theme="9" tint="0.79998168889431442"/>
        <bgColor indexed="64"/>
      </patternFill>
    </fill>
    <fill>
      <patternFill patternType="solid">
        <fgColor rgb="FFDEEAF6"/>
        <bgColor rgb="FFDEEAF6"/>
      </patternFill>
    </fill>
    <fill>
      <patternFill patternType="solid">
        <fgColor rgb="FFFFFF00"/>
        <bgColor indexed="64"/>
      </patternFill>
    </fill>
    <fill>
      <patternFill patternType="solid">
        <fgColor rgb="FFFFFF00"/>
        <bgColor rgb="FFFFFF00"/>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00B0F0"/>
        <bgColor indexed="64"/>
      </patternFill>
    </fill>
    <fill>
      <patternFill patternType="solid">
        <fgColor theme="5" tint="0.59999389629810485"/>
        <bgColor rgb="FFF7CAAC"/>
      </patternFill>
    </fill>
    <fill>
      <patternFill patternType="solid">
        <fgColor theme="5" tint="0.59999389629810485"/>
        <bgColor rgb="FFC5E0B3"/>
      </patternFill>
    </fill>
    <fill>
      <patternFill patternType="solid">
        <fgColor theme="5" tint="0.59999389629810485"/>
        <bgColor rgb="FFB4C6E7"/>
      </patternFill>
    </fill>
    <fill>
      <patternFill patternType="solid">
        <fgColor theme="5" tint="0.59999389629810485"/>
        <bgColor rgb="FFFFE598"/>
      </patternFill>
    </fill>
    <fill>
      <patternFill patternType="solid">
        <fgColor theme="5" tint="0.59999389629810485"/>
        <bgColor rgb="FFD8D8D8"/>
      </patternFill>
    </fill>
    <fill>
      <patternFill patternType="solid">
        <fgColor theme="5" tint="0.59999389629810485"/>
        <bgColor rgb="FFFFFF00"/>
      </patternFill>
    </fill>
    <fill>
      <patternFill patternType="solid">
        <fgColor rgb="FFFFFFFF"/>
        <bgColor indexed="64"/>
      </patternFill>
    </fill>
    <fill>
      <patternFill patternType="solid">
        <fgColor rgb="FFC5E0B3"/>
        <bgColor indexed="64"/>
      </patternFill>
    </fill>
    <fill>
      <patternFill patternType="solid">
        <fgColor rgb="FFF4CCCC"/>
        <bgColor indexed="64"/>
      </patternFill>
    </fill>
    <fill>
      <patternFill patternType="solid">
        <fgColor rgb="FFB4C6E7"/>
        <bgColor indexed="64"/>
      </patternFill>
    </fill>
    <fill>
      <patternFill patternType="solid">
        <fgColor rgb="FFF7CAAC"/>
        <bgColor indexed="64"/>
      </patternFill>
    </fill>
    <fill>
      <patternFill patternType="solid">
        <fgColor theme="7"/>
        <bgColor indexed="64"/>
      </patternFill>
    </fill>
  </fills>
  <borders count="52">
    <border>
      <left/>
      <right/>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medium">
        <color rgb="FF000000"/>
      </right>
      <top/>
      <bottom/>
      <diagonal/>
    </border>
    <border>
      <left style="thin">
        <color rgb="FF000000"/>
      </left>
      <right/>
      <top/>
      <bottom/>
      <diagonal/>
    </border>
    <border>
      <left style="thin">
        <color rgb="FF000000"/>
      </left>
      <right style="medium">
        <color rgb="FF000000"/>
      </right>
      <top style="medium">
        <color rgb="FF000000"/>
      </top>
      <bottom/>
      <diagonal/>
    </border>
    <border>
      <left style="thin">
        <color rgb="FF000000"/>
      </left>
      <right/>
      <top/>
      <bottom style="medium">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medium">
        <color indexed="64"/>
      </right>
      <top style="medium">
        <color indexed="64"/>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style="thin">
        <color rgb="FF000000"/>
      </top>
      <bottom style="thin">
        <color rgb="FF000000"/>
      </bottom>
      <diagonal/>
    </border>
    <border>
      <left/>
      <right/>
      <top/>
      <bottom style="thin">
        <color rgb="FF000000"/>
      </bottom>
      <diagonal/>
    </border>
    <border>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435">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horizontal="center"/>
    </xf>
    <xf numFmtId="0" fontId="4" fillId="0" borderId="0" xfId="0" applyFont="1"/>
    <xf numFmtId="2" fontId="3" fillId="0" borderId="0" xfId="0" applyNumberFormat="1" applyFont="1"/>
    <xf numFmtId="164" fontId="5" fillId="0" borderId="0" xfId="0" applyNumberFormat="1" applyFont="1"/>
    <xf numFmtId="3" fontId="5" fillId="7" borderId="0" xfId="0" applyNumberFormat="1" applyFont="1" applyFill="1"/>
    <xf numFmtId="0" fontId="5" fillId="0" borderId="0" xfId="0" applyFont="1"/>
    <xf numFmtId="0" fontId="0" fillId="0" borderId="0" xfId="0" applyFont="1" applyAlignment="1"/>
    <xf numFmtId="0" fontId="4" fillId="0" borderId="2" xfId="0" applyFont="1" applyBorder="1" applyAlignment="1">
      <alignment horizontal="center" textRotation="90"/>
    </xf>
    <xf numFmtId="0" fontId="4" fillId="0" borderId="3" xfId="0" applyFont="1" applyBorder="1" applyAlignment="1">
      <alignment horizontal="center" textRotation="90"/>
    </xf>
    <xf numFmtId="0" fontId="4" fillId="0" borderId="4" xfId="0" applyFont="1" applyBorder="1" applyAlignment="1">
      <alignment horizontal="center" textRotation="90"/>
    </xf>
    <xf numFmtId="0" fontId="4" fillId="0" borderId="5" xfId="0" applyFont="1" applyBorder="1" applyAlignment="1">
      <alignment horizontal="center" textRotation="90"/>
    </xf>
    <xf numFmtId="4" fontId="4" fillId="0" borderId="3" xfId="0" applyNumberFormat="1" applyFont="1" applyBorder="1" applyAlignment="1">
      <alignment horizontal="center" textRotation="90"/>
    </xf>
    <xf numFmtId="0" fontId="4" fillId="3" borderId="4" xfId="0" applyFont="1" applyFill="1" applyBorder="1" applyAlignment="1">
      <alignment horizontal="center" vertical="center" textRotation="90" wrapText="1"/>
    </xf>
    <xf numFmtId="0" fontId="6" fillId="0" borderId="0" xfId="0" applyFont="1" applyAlignment="1">
      <alignment horizontal="center" vertical="center" textRotation="90" wrapText="1"/>
    </xf>
    <xf numFmtId="0" fontId="5" fillId="0" borderId="6" xfId="0" applyFont="1" applyBorder="1"/>
    <xf numFmtId="0" fontId="5" fillId="0" borderId="7" xfId="0" applyFont="1" applyBorder="1"/>
    <xf numFmtId="0" fontId="3" fillId="0" borderId="7" xfId="0" applyFont="1" applyBorder="1" applyAlignment="1">
      <alignment horizontal="center"/>
    </xf>
    <xf numFmtId="0" fontId="3" fillId="0" borderId="6" xfId="0" applyFont="1" applyBorder="1" applyAlignment="1">
      <alignment horizontal="center"/>
    </xf>
    <xf numFmtId="4" fontId="7" fillId="2" borderId="7" xfId="0" applyNumberFormat="1" applyFont="1" applyFill="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xf numFmtId="165" fontId="4" fillId="3" borderId="9" xfId="0" applyNumberFormat="1" applyFont="1" applyFill="1" applyBorder="1" applyAlignment="1">
      <alignment horizontal="right"/>
    </xf>
    <xf numFmtId="165" fontId="3" fillId="0" borderId="6" xfId="0" applyNumberFormat="1" applyFont="1" applyBorder="1" applyAlignment="1">
      <alignment horizontal="right"/>
    </xf>
    <xf numFmtId="4" fontId="3" fillId="0" borderId="7" xfId="0" applyNumberFormat="1" applyFont="1" applyBorder="1" applyAlignment="1">
      <alignment horizontal="right"/>
    </xf>
    <xf numFmtId="0" fontId="5" fillId="0" borderId="7" xfId="0" applyFont="1" applyBorder="1" applyAlignment="1">
      <alignment horizontal="right"/>
    </xf>
    <xf numFmtId="165" fontId="4" fillId="4" borderId="9" xfId="0" applyNumberFormat="1" applyFont="1" applyFill="1" applyBorder="1" applyAlignment="1">
      <alignment horizontal="right"/>
    </xf>
    <xf numFmtId="0" fontId="3" fillId="0" borderId="7" xfId="0" applyFont="1" applyBorder="1" applyAlignment="1">
      <alignment horizontal="left"/>
    </xf>
    <xf numFmtId="0" fontId="4" fillId="5" borderId="7" xfId="0" applyFont="1" applyFill="1" applyBorder="1" applyAlignment="1">
      <alignment horizontal="right"/>
    </xf>
    <xf numFmtId="0" fontId="3" fillId="0" borderId="10" xfId="0" applyFont="1" applyBorder="1" applyAlignment="1">
      <alignment horizontal="right"/>
    </xf>
    <xf numFmtId="0" fontId="5" fillId="0" borderId="10" xfId="0" applyFont="1" applyBorder="1" applyAlignment="1">
      <alignment horizontal="right"/>
    </xf>
    <xf numFmtId="164" fontId="4" fillId="6" borderId="11" xfId="0" applyNumberFormat="1" applyFont="1" applyFill="1" applyBorder="1" applyAlignment="1">
      <alignment horizontal="right"/>
    </xf>
    <xf numFmtId="4" fontId="4" fillId="0" borderId="7" xfId="0" applyNumberFormat="1" applyFont="1" applyBorder="1" applyAlignment="1">
      <alignment horizontal="right"/>
    </xf>
    <xf numFmtId="3" fontId="5" fillId="0" borderId="0" xfId="0" applyNumberFormat="1" applyFont="1"/>
    <xf numFmtId="2" fontId="3" fillId="0" borderId="7" xfId="0" applyNumberFormat="1" applyFont="1" applyBorder="1" applyAlignment="1">
      <alignment horizontal="right"/>
    </xf>
    <xf numFmtId="0" fontId="1" fillId="0" borderId="6" xfId="0" applyFont="1" applyBorder="1"/>
    <xf numFmtId="0" fontId="3" fillId="0" borderId="6" xfId="0" applyFont="1" applyBorder="1" applyAlignment="1">
      <alignment horizontal="right"/>
    </xf>
    <xf numFmtId="2" fontId="3" fillId="0" borderId="10" xfId="0" applyNumberFormat="1" applyFont="1" applyBorder="1" applyAlignment="1">
      <alignment horizontal="right"/>
    </xf>
    <xf numFmtId="2" fontId="5" fillId="0" borderId="10" xfId="0" applyNumberFormat="1" applyFont="1" applyBorder="1" applyAlignment="1">
      <alignment horizontal="right"/>
    </xf>
    <xf numFmtId="2" fontId="4" fillId="0" borderId="0" xfId="0" applyNumberFormat="1" applyFont="1" applyAlignment="1">
      <alignment horizontal="center"/>
    </xf>
    <xf numFmtId="0" fontId="5" fillId="0" borderId="7" xfId="0" applyFont="1" applyBorder="1" applyAlignment="1">
      <alignment horizontal="left"/>
    </xf>
    <xf numFmtId="0" fontId="5" fillId="0" borderId="6" xfId="0" applyFont="1" applyBorder="1" applyAlignment="1">
      <alignment horizontal="right"/>
    </xf>
    <xf numFmtId="0" fontId="0" fillId="0" borderId="12" xfId="0" applyFont="1" applyBorder="1" applyAlignment="1"/>
    <xf numFmtId="0" fontId="3" fillId="0" borderId="6" xfId="0" applyFont="1" applyBorder="1" applyAlignment="1">
      <alignment horizontal="left"/>
    </xf>
    <xf numFmtId="0" fontId="8" fillId="0" borderId="6" xfId="0" applyFont="1" applyBorder="1" applyAlignment="1">
      <alignment horizontal="right"/>
    </xf>
    <xf numFmtId="0" fontId="3" fillId="0" borderId="13" xfId="0" applyFont="1" applyBorder="1" applyAlignment="1">
      <alignment horizontal="right"/>
    </xf>
    <xf numFmtId="0" fontId="5" fillId="0" borderId="13" xfId="0" applyFont="1" applyBorder="1" applyAlignment="1">
      <alignment horizontal="left"/>
    </xf>
    <xf numFmtId="0" fontId="3" fillId="0" borderId="14" xfId="0" applyFont="1" applyBorder="1" applyAlignment="1">
      <alignment horizontal="right"/>
    </xf>
    <xf numFmtId="0" fontId="0" fillId="0" borderId="14" xfId="0" applyFont="1" applyBorder="1" applyAlignment="1"/>
    <xf numFmtId="0" fontId="4" fillId="5" borderId="8" xfId="0" applyFont="1" applyFill="1" applyBorder="1" applyAlignment="1">
      <alignment horizontal="right"/>
    </xf>
    <xf numFmtId="0" fontId="5" fillId="0" borderId="14" xfId="0" applyFont="1" applyBorder="1" applyAlignment="1">
      <alignment horizontal="left"/>
    </xf>
    <xf numFmtId="0" fontId="11" fillId="0" borderId="0" xfId="0" applyFont="1"/>
    <xf numFmtId="4" fontId="4" fillId="0" borderId="0" xfId="0" applyNumberFormat="1" applyFont="1"/>
    <xf numFmtId="4" fontId="3" fillId="0" borderId="0" xfId="0" applyNumberFormat="1" applyFont="1" applyAlignment="1">
      <alignment horizontal="right"/>
    </xf>
    <xf numFmtId="0" fontId="3" fillId="0" borderId="0" xfId="0" applyFont="1" applyAlignment="1">
      <alignment horizontal="right"/>
    </xf>
    <xf numFmtId="4" fontId="3" fillId="0" borderId="0" xfId="0" applyNumberFormat="1" applyFont="1"/>
    <xf numFmtId="0" fontId="3" fillId="0" borderId="0" xfId="0" applyFont="1" applyAlignment="1">
      <alignment horizontal="left"/>
    </xf>
    <xf numFmtId="4" fontId="4" fillId="2" borderId="7" xfId="0" applyNumberFormat="1" applyFont="1" applyFill="1" applyBorder="1"/>
    <xf numFmtId="3" fontId="4" fillId="0" borderId="7" xfId="0" applyNumberFormat="1" applyFont="1" applyBorder="1" applyAlignment="1">
      <alignment horizontal="right"/>
    </xf>
    <xf numFmtId="0" fontId="12" fillId="0" borderId="7" xfId="0" applyFont="1" applyBorder="1"/>
    <xf numFmtId="0" fontId="12" fillId="0" borderId="8" xfId="0" applyFont="1" applyBorder="1"/>
    <xf numFmtId="0" fontId="12" fillId="0" borderId="8" xfId="0" applyFont="1" applyBorder="1" applyAlignment="1">
      <alignment horizontal="center"/>
    </xf>
    <xf numFmtId="0" fontId="12" fillId="0" borderId="15" xfId="0" applyFont="1" applyBorder="1" applyAlignment="1">
      <alignment horizontal="center"/>
    </xf>
    <xf numFmtId="4" fontId="7" fillId="2" borderId="6" xfId="0" applyNumberFormat="1" applyFont="1" applyFill="1" applyBorder="1" applyAlignment="1">
      <alignment horizontal="right"/>
    </xf>
    <xf numFmtId="0" fontId="12" fillId="0" borderId="7" xfId="0" applyFont="1" applyBorder="1" applyAlignment="1">
      <alignment horizontal="right"/>
    </xf>
    <xf numFmtId="0" fontId="12" fillId="0" borderId="8" xfId="0" applyFont="1" applyBorder="1" applyAlignment="1">
      <alignment horizontal="right"/>
    </xf>
    <xf numFmtId="4" fontId="12" fillId="0" borderId="8" xfId="0" applyNumberFormat="1" applyFont="1" applyBorder="1" applyAlignment="1">
      <alignment horizontal="right"/>
    </xf>
    <xf numFmtId="0" fontId="12" fillId="0" borderId="8" xfId="0" applyFont="1" applyBorder="1" applyAlignment="1">
      <alignment horizontal="left"/>
    </xf>
    <xf numFmtId="2" fontId="12" fillId="0" borderId="10" xfId="0" applyNumberFormat="1" applyFont="1" applyBorder="1" applyAlignment="1">
      <alignment horizontal="right"/>
    </xf>
    <xf numFmtId="0" fontId="5" fillId="0" borderId="6" xfId="0" applyFont="1" applyFill="1" applyBorder="1"/>
    <xf numFmtId="4" fontId="4" fillId="2" borderId="6" xfId="0" applyNumberFormat="1" applyFont="1" applyFill="1" applyBorder="1"/>
    <xf numFmtId="0" fontId="5" fillId="10" borderId="7" xfId="0" applyFont="1" applyFill="1" applyBorder="1"/>
    <xf numFmtId="0" fontId="12" fillId="0" borderId="15" xfId="0" applyFont="1" applyBorder="1" applyAlignment="1">
      <alignment horizontal="left"/>
    </xf>
    <xf numFmtId="0" fontId="12" fillId="10" borderId="7" xfId="0" applyFont="1" applyFill="1" applyBorder="1"/>
    <xf numFmtId="0" fontId="12" fillId="10" borderId="8" xfId="0" applyFont="1" applyFill="1" applyBorder="1"/>
    <xf numFmtId="0" fontId="3" fillId="0" borderId="6" xfId="0" applyFont="1" applyBorder="1"/>
    <xf numFmtId="0" fontId="3" fillId="0" borderId="16" xfId="0" applyFont="1" applyBorder="1"/>
    <xf numFmtId="0" fontId="5" fillId="0" borderId="13" xfId="0" applyFont="1" applyBorder="1"/>
    <xf numFmtId="0" fontId="3" fillId="0" borderId="13" xfId="0" applyFont="1" applyBorder="1" applyAlignment="1">
      <alignment horizontal="center"/>
    </xf>
    <xf numFmtId="0" fontId="3" fillId="0" borderId="16" xfId="0" applyFont="1" applyBorder="1" applyAlignment="1">
      <alignment horizontal="center"/>
    </xf>
    <xf numFmtId="4" fontId="4" fillId="2" borderId="16" xfId="0" applyNumberFormat="1" applyFont="1" applyFill="1" applyBorder="1"/>
    <xf numFmtId="0" fontId="3" fillId="0" borderId="17" xfId="0" applyFont="1" applyBorder="1" applyAlignment="1">
      <alignment horizontal="right"/>
    </xf>
    <xf numFmtId="165" fontId="4" fillId="3" borderId="18" xfId="0" applyNumberFormat="1" applyFont="1" applyFill="1" applyBorder="1" applyAlignment="1">
      <alignment horizontal="right"/>
    </xf>
    <xf numFmtId="165" fontId="3" fillId="0" borderId="16" xfId="0" applyNumberFormat="1" applyFont="1" applyBorder="1" applyAlignment="1">
      <alignment horizontal="right"/>
    </xf>
    <xf numFmtId="4" fontId="3" fillId="0" borderId="13" xfId="0" applyNumberFormat="1" applyFont="1" applyBorder="1" applyAlignment="1">
      <alignment horizontal="right"/>
    </xf>
    <xf numFmtId="0" fontId="3" fillId="0" borderId="13" xfId="0" applyFont="1" applyBorder="1" applyAlignment="1">
      <alignment horizontal="left"/>
    </xf>
    <xf numFmtId="165" fontId="4" fillId="4" borderId="18" xfId="0" applyNumberFormat="1" applyFont="1" applyFill="1" applyBorder="1" applyAlignment="1">
      <alignment horizontal="right"/>
    </xf>
    <xf numFmtId="0" fontId="4" fillId="5" borderId="13" xfId="0" applyFont="1" applyFill="1" applyBorder="1" applyAlignment="1">
      <alignment horizontal="right"/>
    </xf>
    <xf numFmtId="2" fontId="3" fillId="0" borderId="19" xfId="0" applyNumberFormat="1" applyFont="1" applyBorder="1" applyAlignment="1">
      <alignment horizontal="right"/>
    </xf>
    <xf numFmtId="164" fontId="4" fillId="6" borderId="20" xfId="0" applyNumberFormat="1" applyFont="1" applyFill="1" applyBorder="1" applyAlignment="1">
      <alignment horizontal="right"/>
    </xf>
    <xf numFmtId="3" fontId="4" fillId="0" borderId="13" xfId="0" applyNumberFormat="1" applyFont="1" applyBorder="1" applyAlignment="1">
      <alignment horizontal="right"/>
    </xf>
    <xf numFmtId="4" fontId="3" fillId="0" borderId="0" xfId="0" applyNumberFormat="1" applyFont="1" applyAlignment="1">
      <alignment horizontal="center"/>
    </xf>
    <xf numFmtId="1" fontId="3" fillId="0" borderId="0" xfId="0" applyNumberFormat="1" applyFont="1" applyAlignment="1">
      <alignment horizontal="center"/>
    </xf>
    <xf numFmtId="165" fontId="4" fillId="0" borderId="0" xfId="0" applyNumberFormat="1" applyFont="1" applyAlignment="1">
      <alignment horizontal="center"/>
    </xf>
    <xf numFmtId="2" fontId="3" fillId="0" borderId="0" xfId="0" applyNumberFormat="1" applyFont="1" applyAlignment="1">
      <alignment horizontal="center"/>
    </xf>
    <xf numFmtId="0" fontId="5" fillId="0" borderId="7" xfId="0" applyFont="1" applyBorder="1" applyAlignment="1"/>
    <xf numFmtId="3" fontId="4" fillId="2" borderId="6" xfId="0" applyNumberFormat="1" applyFont="1" applyFill="1" applyBorder="1" applyAlignment="1">
      <alignment horizontal="center"/>
    </xf>
    <xf numFmtId="1" fontId="3" fillId="0" borderId="8" xfId="0" applyNumberFormat="1" applyFont="1" applyBorder="1" applyAlignment="1">
      <alignment horizontal="center"/>
    </xf>
    <xf numFmtId="165" fontId="4" fillId="3" borderId="9" xfId="0" applyNumberFormat="1" applyFont="1" applyFill="1" applyBorder="1" applyAlignment="1">
      <alignment horizontal="center"/>
    </xf>
    <xf numFmtId="165" fontId="3" fillId="0" borderId="6" xfId="0" applyNumberFormat="1" applyFont="1" applyBorder="1" applyAlignment="1">
      <alignment horizontal="center"/>
    </xf>
    <xf numFmtId="164" fontId="3" fillId="0" borderId="7" xfId="0" applyNumberFormat="1" applyFont="1" applyBorder="1" applyAlignment="1">
      <alignment horizontal="center"/>
    </xf>
    <xf numFmtId="2" fontId="3" fillId="0" borderId="7" xfId="0" applyNumberFormat="1" applyFont="1" applyBorder="1" applyAlignment="1">
      <alignment horizontal="center"/>
    </xf>
    <xf numFmtId="165" fontId="3" fillId="0" borderId="7" xfId="0" applyNumberFormat="1" applyFont="1" applyBorder="1" applyAlignment="1">
      <alignment horizontal="right"/>
    </xf>
    <xf numFmtId="2" fontId="4" fillId="4" borderId="9" xfId="0" applyNumberFormat="1" applyFont="1" applyFill="1" applyBorder="1" applyAlignment="1">
      <alignment horizontal="right"/>
    </xf>
    <xf numFmtId="2" fontId="4" fillId="5" borderId="7" xfId="0" applyNumberFormat="1" applyFont="1" applyFill="1" applyBorder="1" applyAlignment="1">
      <alignment horizontal="right"/>
    </xf>
    <xf numFmtId="4" fontId="4" fillId="6" borderId="11" xfId="0" applyNumberFormat="1" applyFont="1" applyFill="1" applyBorder="1" applyAlignment="1">
      <alignment horizontal="right"/>
    </xf>
    <xf numFmtId="0" fontId="3" fillId="0" borderId="6" xfId="0" applyFont="1" applyBorder="1" applyAlignment="1"/>
    <xf numFmtId="0" fontId="15" fillId="0" borderId="0" xfId="0" applyFont="1" applyProtection="1">
      <protection locked="0"/>
    </xf>
    <xf numFmtId="0" fontId="0" fillId="0" borderId="0" xfId="0" applyProtection="1">
      <protection locked="0"/>
    </xf>
    <xf numFmtId="0" fontId="0" fillId="0" borderId="0" xfId="0" applyAlignment="1" applyProtection="1">
      <alignment horizontal="center"/>
      <protection locked="0"/>
    </xf>
    <xf numFmtId="4" fontId="2" fillId="0" borderId="0" xfId="0" applyNumberFormat="1" applyFont="1" applyProtection="1">
      <protection locked="0"/>
    </xf>
    <xf numFmtId="4" fontId="0" fillId="0" borderId="0" xfId="0" applyNumberFormat="1" applyAlignment="1" applyProtection="1">
      <alignment horizontal="right"/>
      <protection locked="0"/>
    </xf>
    <xf numFmtId="0" fontId="0" fillId="0" borderId="0" xfId="0" applyAlignment="1" applyProtection="1">
      <alignment horizontal="right"/>
      <protection locked="0"/>
    </xf>
    <xf numFmtId="0" fontId="2" fillId="0" borderId="0" xfId="0" applyFont="1" applyProtection="1">
      <protection locked="0"/>
    </xf>
    <xf numFmtId="0" fontId="2" fillId="0" borderId="0" xfId="0" applyFont="1" applyFill="1" applyAlignment="1" applyProtection="1">
      <alignment horizontal="center"/>
      <protection locked="0"/>
    </xf>
    <xf numFmtId="4" fontId="0" fillId="0" borderId="0" xfId="0" applyNumberFormat="1" applyProtection="1">
      <protection locked="0"/>
    </xf>
    <xf numFmtId="0" fontId="2" fillId="0" borderId="0" xfId="0" applyFont="1" applyAlignment="1" applyProtection="1">
      <alignment horizontal="center"/>
      <protection locked="0"/>
    </xf>
    <xf numFmtId="0" fontId="0" fillId="0" borderId="0" xfId="0" applyAlignment="1" applyProtection="1">
      <alignment horizontal="left"/>
      <protection locked="0"/>
    </xf>
    <xf numFmtId="2" fontId="0" fillId="0" borderId="0" xfId="0" applyNumberFormat="1" applyProtection="1">
      <protection locked="0"/>
    </xf>
    <xf numFmtId="0" fontId="1" fillId="0" borderId="14" xfId="2" applyBorder="1"/>
    <xf numFmtId="0" fontId="14" fillId="0" borderId="22" xfId="0" applyFont="1" applyBorder="1" applyProtection="1">
      <protection locked="0"/>
    </xf>
    <xf numFmtId="0" fontId="14" fillId="0" borderId="23" xfId="0" applyFont="1" applyBorder="1" applyProtection="1">
      <protection locked="0"/>
    </xf>
    <xf numFmtId="0" fontId="0" fillId="0" borderId="23" xfId="0" applyFill="1" applyBorder="1" applyAlignment="1" applyProtection="1">
      <alignment horizontal="center"/>
      <protection locked="0"/>
    </xf>
    <xf numFmtId="0" fontId="0" fillId="0" borderId="14" xfId="0" applyFill="1" applyBorder="1" applyAlignment="1" applyProtection="1">
      <alignment horizontal="left"/>
      <protection locked="0"/>
    </xf>
    <xf numFmtId="3" fontId="2" fillId="11" borderId="23" xfId="0" applyNumberFormat="1" applyFont="1" applyFill="1" applyBorder="1" applyAlignment="1" applyProtection="1">
      <alignment horizontal="center"/>
      <protection locked="0"/>
    </xf>
    <xf numFmtId="0" fontId="0" fillId="0" borderId="23" xfId="0" applyFont="1" applyFill="1" applyBorder="1" applyAlignment="1" applyProtection="1">
      <alignment horizontal="right"/>
      <protection locked="0"/>
    </xf>
    <xf numFmtId="0" fontId="0" fillId="0" borderId="23" xfId="0" applyFont="1" applyBorder="1" applyAlignment="1" applyProtection="1">
      <alignment horizontal="right"/>
      <protection locked="0"/>
    </xf>
    <xf numFmtId="165" fontId="2" fillId="12" borderId="24" xfId="0" applyNumberFormat="1" applyFont="1" applyFill="1" applyBorder="1" applyAlignment="1" applyProtection="1">
      <alignment horizontal="right"/>
      <protection locked="0"/>
    </xf>
    <xf numFmtId="165" fontId="0" fillId="0" borderId="14" xfId="0" applyNumberFormat="1" applyFont="1" applyBorder="1" applyAlignment="1" applyProtection="1">
      <alignment horizontal="right"/>
      <protection locked="0"/>
    </xf>
    <xf numFmtId="0" fontId="0" fillId="9" borderId="23" xfId="0" applyFont="1" applyFill="1" applyBorder="1" applyAlignment="1" applyProtection="1">
      <alignment horizontal="right"/>
      <protection locked="0"/>
    </xf>
    <xf numFmtId="0" fontId="0" fillId="9" borderId="23" xfId="0" applyFont="1" applyFill="1" applyBorder="1" applyAlignment="1" applyProtection="1">
      <alignment horizontal="right"/>
    </xf>
    <xf numFmtId="164" fontId="0" fillId="0" borderId="23" xfId="0" applyNumberFormat="1" applyFont="1" applyFill="1" applyBorder="1" applyAlignment="1" applyProtection="1">
      <alignment horizontal="right"/>
      <protection locked="0"/>
    </xf>
    <xf numFmtId="165" fontId="2" fillId="13" borderId="24" xfId="0" applyNumberFormat="1" applyFont="1" applyFill="1" applyBorder="1" applyAlignment="1" applyProtection="1">
      <alignment horizontal="right"/>
      <protection locked="0"/>
    </xf>
    <xf numFmtId="0" fontId="0" fillId="0" borderId="23" xfId="0" applyFont="1" applyFill="1" applyBorder="1" applyAlignment="1" applyProtection="1">
      <alignment horizontal="left"/>
      <protection locked="0"/>
    </xf>
    <xf numFmtId="0" fontId="2" fillId="14" borderId="23" xfId="0" applyFont="1" applyFill="1" applyBorder="1" applyAlignment="1" applyProtection="1">
      <alignment horizontal="right"/>
      <protection locked="0"/>
    </xf>
    <xf numFmtId="0" fontId="0" fillId="0" borderId="25" xfId="0" applyFont="1" applyFill="1" applyBorder="1" applyAlignment="1" applyProtection="1">
      <alignment horizontal="right"/>
      <protection locked="0"/>
    </xf>
    <xf numFmtId="164" fontId="2" fillId="15" borderId="26" xfId="0" applyNumberFormat="1" applyFont="1" applyFill="1" applyBorder="1" applyAlignment="1" applyProtection="1">
      <alignment horizontal="right"/>
      <protection locked="0"/>
    </xf>
    <xf numFmtId="4" fontId="2" fillId="0" borderId="23" xfId="0" applyNumberFormat="1" applyFont="1" applyBorder="1" applyAlignment="1" applyProtection="1">
      <alignment horizontal="right"/>
      <protection locked="0"/>
    </xf>
    <xf numFmtId="0" fontId="0" fillId="0" borderId="14" xfId="0" applyFill="1" applyBorder="1" applyAlignment="1" applyProtection="1">
      <alignment horizontal="center"/>
      <protection locked="0"/>
    </xf>
    <xf numFmtId="3" fontId="2" fillId="11" borderId="14" xfId="0" applyNumberFormat="1" applyFont="1" applyFill="1" applyBorder="1" applyAlignment="1" applyProtection="1">
      <alignment horizontal="center"/>
      <protection locked="0"/>
    </xf>
    <xf numFmtId="2" fontId="0" fillId="0" borderId="23" xfId="0" applyNumberFormat="1" applyFont="1" applyBorder="1" applyAlignment="1" applyProtection="1">
      <alignment horizontal="right"/>
      <protection locked="0"/>
    </xf>
    <xf numFmtId="0" fontId="0" fillId="0" borderId="14" xfId="0" applyFont="1" applyFill="1" applyBorder="1" applyAlignment="1" applyProtection="1">
      <alignment horizontal="right"/>
      <protection locked="0"/>
    </xf>
    <xf numFmtId="2" fontId="0" fillId="0" borderId="25" xfId="0" applyNumberFormat="1" applyFont="1" applyFill="1" applyBorder="1" applyAlignment="1" applyProtection="1">
      <alignment horizontal="right"/>
      <protection locked="0"/>
    </xf>
    <xf numFmtId="0" fontId="0" fillId="9" borderId="14" xfId="0" applyFont="1" applyFill="1" applyBorder="1" applyAlignment="1" applyProtection="1">
      <alignment horizontal="right"/>
      <protection locked="0"/>
    </xf>
    <xf numFmtId="166" fontId="3" fillId="0" borderId="7" xfId="0" applyNumberFormat="1" applyFont="1" applyBorder="1" applyAlignment="1">
      <alignment horizontal="center"/>
    </xf>
    <xf numFmtId="167" fontId="3" fillId="0" borderId="6" xfId="0" applyNumberFormat="1" applyFont="1" applyBorder="1" applyAlignment="1">
      <alignment horizontal="left"/>
    </xf>
    <xf numFmtId="167" fontId="3" fillId="0" borderId="7" xfId="0" applyNumberFormat="1" applyFont="1" applyBorder="1" applyAlignment="1">
      <alignment horizontal="center"/>
    </xf>
    <xf numFmtId="166" fontId="3" fillId="0" borderId="7" xfId="0" applyNumberFormat="1" applyFont="1" applyBorder="1" applyAlignment="1">
      <alignment horizontal="right"/>
    </xf>
    <xf numFmtId="167" fontId="5" fillId="0" borderId="7" xfId="0" applyNumberFormat="1" applyFont="1" applyBorder="1"/>
    <xf numFmtId="166" fontId="3" fillId="0" borderId="6"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right"/>
    </xf>
    <xf numFmtId="166" fontId="3" fillId="0" borderId="7" xfId="0" applyNumberFormat="1" applyFont="1" applyBorder="1" applyAlignment="1">
      <alignment horizontal="left"/>
    </xf>
    <xf numFmtId="167" fontId="3" fillId="0" borderId="6" xfId="0" applyNumberFormat="1" applyFont="1" applyBorder="1" applyAlignment="1">
      <alignment horizontal="right"/>
    </xf>
    <xf numFmtId="167" fontId="4" fillId="5" borderId="7" xfId="0" applyNumberFormat="1" applyFont="1" applyFill="1" applyBorder="1" applyAlignment="1">
      <alignment horizontal="right"/>
    </xf>
    <xf numFmtId="3" fontId="3" fillId="0" borderId="7" xfId="0" applyNumberFormat="1" applyFont="1" applyBorder="1" applyAlignment="1">
      <alignment horizontal="right"/>
    </xf>
    <xf numFmtId="1" fontId="3" fillId="0" borderId="6" xfId="0" applyNumberFormat="1" applyFont="1" applyBorder="1" applyAlignment="1">
      <alignment horizontal="right"/>
    </xf>
    <xf numFmtId="41" fontId="5" fillId="0" borderId="7" xfId="0" applyNumberFormat="1" applyFont="1" applyBorder="1" applyAlignment="1"/>
    <xf numFmtId="41" fontId="3" fillId="0" borderId="6" xfId="0" applyNumberFormat="1" applyFont="1" applyBorder="1" applyAlignment="1">
      <alignment horizontal="center"/>
    </xf>
    <xf numFmtId="41" fontId="3" fillId="0" borderId="7" xfId="0" applyNumberFormat="1" applyFont="1" applyBorder="1" applyAlignment="1">
      <alignment horizontal="center"/>
    </xf>
    <xf numFmtId="168" fontId="3" fillId="0" borderId="7" xfId="0" applyNumberFormat="1" applyFont="1" applyBorder="1" applyAlignment="1">
      <alignment horizontal="right"/>
    </xf>
    <xf numFmtId="168" fontId="3" fillId="0" borderId="6" xfId="0" applyNumberFormat="1" applyFont="1" applyBorder="1" applyAlignment="1">
      <alignment horizontal="right"/>
    </xf>
    <xf numFmtId="168" fontId="4" fillId="5" borderId="7" xfId="0" applyNumberFormat="1" applyFont="1" applyFill="1" applyBorder="1" applyAlignment="1">
      <alignment horizontal="right"/>
    </xf>
    <xf numFmtId="165" fontId="3" fillId="17" borderId="6" xfId="0" applyNumberFormat="1" applyFont="1" applyFill="1" applyBorder="1" applyAlignment="1">
      <alignment horizontal="right"/>
    </xf>
    <xf numFmtId="165" fontId="3" fillId="0" borderId="6" xfId="0" applyNumberFormat="1" applyFont="1" applyFill="1" applyBorder="1" applyAlignment="1">
      <alignment horizontal="right"/>
    </xf>
    <xf numFmtId="0" fontId="3" fillId="17" borderId="6" xfId="0" applyFont="1" applyFill="1" applyBorder="1" applyAlignment="1">
      <alignment horizontal="right"/>
    </xf>
    <xf numFmtId="166" fontId="3" fillId="0" borderId="13" xfId="0" applyNumberFormat="1" applyFont="1" applyBorder="1" applyAlignment="1">
      <alignment horizontal="left"/>
    </xf>
    <xf numFmtId="165" fontId="4" fillId="4" borderId="33" xfId="0" applyNumberFormat="1" applyFont="1" applyFill="1" applyBorder="1" applyAlignment="1">
      <alignment horizontal="right"/>
    </xf>
    <xf numFmtId="0" fontId="3" fillId="0" borderId="7" xfId="0" applyFont="1" applyFill="1" applyBorder="1" applyAlignment="1">
      <alignment horizontal="right"/>
    </xf>
    <xf numFmtId="168" fontId="5" fillId="0" borderId="7" xfId="0" applyNumberFormat="1" applyFont="1" applyBorder="1"/>
    <xf numFmtId="168" fontId="3" fillId="0" borderId="6" xfId="0" applyNumberFormat="1" applyFont="1" applyBorder="1" applyAlignment="1">
      <alignment horizontal="center"/>
    </xf>
    <xf numFmtId="168" fontId="3" fillId="0" borderId="7" xfId="0" applyNumberFormat="1" applyFont="1" applyBorder="1" applyAlignment="1">
      <alignment horizontal="center"/>
    </xf>
    <xf numFmtId="1" fontId="4" fillId="5" borderId="7" xfId="0" applyNumberFormat="1" applyFont="1" applyFill="1" applyBorder="1" applyAlignment="1">
      <alignment horizontal="right"/>
    </xf>
    <xf numFmtId="41" fontId="3" fillId="0" borderId="6" xfId="0" applyNumberFormat="1" applyFont="1" applyBorder="1" applyAlignment="1">
      <alignment horizontal="right"/>
    </xf>
    <xf numFmtId="41" fontId="3" fillId="0" borderId="7" xfId="0" applyNumberFormat="1" applyFont="1" applyBorder="1" applyAlignment="1">
      <alignment horizontal="right"/>
    </xf>
    <xf numFmtId="167" fontId="3" fillId="0" borderId="6" xfId="0" applyNumberFormat="1" applyFont="1" applyBorder="1" applyAlignment="1"/>
    <xf numFmtId="166" fontId="3" fillId="0" borderId="6" xfId="0" applyNumberFormat="1" applyFont="1" applyBorder="1" applyAlignment="1"/>
    <xf numFmtId="41" fontId="5" fillId="0" borderId="7" xfId="0" applyNumberFormat="1" applyFont="1" applyBorder="1"/>
    <xf numFmtId="41" fontId="4" fillId="5" borderId="7" xfId="0" applyNumberFormat="1" applyFont="1" applyFill="1" applyBorder="1" applyAlignment="1">
      <alignment horizontal="right"/>
    </xf>
    <xf numFmtId="0" fontId="13" fillId="0" borderId="0" xfId="0" applyFont="1" applyAlignment="1" applyProtection="1">
      <alignment horizontal="center" vertical="center"/>
      <protection locked="0"/>
    </xf>
    <xf numFmtId="0" fontId="14" fillId="0" borderId="0" xfId="0" applyFont="1" applyProtection="1">
      <protection locked="0"/>
    </xf>
    <xf numFmtId="0" fontId="14" fillId="0" borderId="0" xfId="0" applyFont="1" applyAlignment="1" applyProtection="1">
      <alignment horizontal="center"/>
      <protection locked="0"/>
    </xf>
    <xf numFmtId="4" fontId="13" fillId="0" borderId="0" xfId="0" applyNumberFormat="1" applyFont="1" applyProtection="1">
      <protection locked="0"/>
    </xf>
    <xf numFmtId="4" fontId="14" fillId="0" borderId="0" xfId="0" applyNumberFormat="1" applyFont="1" applyAlignment="1" applyProtection="1">
      <alignment horizontal="right"/>
      <protection locked="0"/>
    </xf>
    <xf numFmtId="0" fontId="14" fillId="0" borderId="0" xfId="0" applyFont="1" applyAlignment="1" applyProtection="1">
      <alignment horizontal="right"/>
      <protection locked="0"/>
    </xf>
    <xf numFmtId="0" fontId="14" fillId="0" borderId="0" xfId="0" applyFont="1" applyFill="1" applyAlignment="1" applyProtection="1">
      <alignment horizontal="center"/>
      <protection locked="0"/>
    </xf>
    <xf numFmtId="4" fontId="14" fillId="0" borderId="0" xfId="0" applyNumberFormat="1" applyFont="1" applyProtection="1">
      <protection locked="0"/>
    </xf>
    <xf numFmtId="0" fontId="14" fillId="0" borderId="0" xfId="0" applyFont="1" applyAlignment="1" applyProtection="1">
      <alignment horizontal="center" vertical="center"/>
      <protection locked="0"/>
    </xf>
    <xf numFmtId="0" fontId="13" fillId="0" borderId="0" xfId="0" applyFont="1" applyAlignment="1" applyProtection="1">
      <alignment horizontal="center"/>
      <protection locked="0"/>
    </xf>
    <xf numFmtId="0" fontId="14" fillId="0" borderId="0" xfId="0" applyFont="1" applyAlignment="1" applyProtection="1">
      <alignment horizontal="left"/>
      <protection locked="0"/>
    </xf>
    <xf numFmtId="2" fontId="14" fillId="0" borderId="0" xfId="0" applyNumberFormat="1" applyFont="1" applyProtection="1">
      <protection locked="0"/>
    </xf>
    <xf numFmtId="0" fontId="14" fillId="0" borderId="0" xfId="0" applyFont="1"/>
    <xf numFmtId="0" fontId="14" fillId="0" borderId="14" xfId="2" applyFont="1" applyBorder="1" applyAlignment="1">
      <alignment horizontal="center" vertical="center"/>
    </xf>
    <xf numFmtId="0" fontId="14" fillId="0" borderId="14" xfId="2" applyFont="1" applyBorder="1"/>
    <xf numFmtId="0" fontId="14" fillId="0" borderId="23" xfId="0" applyFont="1" applyFill="1" applyBorder="1" applyAlignment="1" applyProtection="1">
      <alignment horizontal="center"/>
      <protection locked="0"/>
    </xf>
    <xf numFmtId="0" fontId="14" fillId="0" borderId="14" xfId="0" applyFont="1" applyFill="1" applyBorder="1" applyAlignment="1" applyProtection="1">
      <alignment horizontal="center"/>
      <protection locked="0"/>
    </xf>
    <xf numFmtId="4" fontId="13" fillId="11" borderId="23" xfId="0" applyNumberFormat="1" applyFont="1" applyFill="1" applyBorder="1" applyProtection="1">
      <protection locked="0"/>
    </xf>
    <xf numFmtId="0" fontId="14" fillId="0" borderId="23" xfId="0" applyFont="1" applyFill="1" applyBorder="1" applyAlignment="1" applyProtection="1">
      <alignment horizontal="right"/>
      <protection locked="0"/>
    </xf>
    <xf numFmtId="0" fontId="14" fillId="0" borderId="23" xfId="0" applyFont="1" applyBorder="1" applyAlignment="1" applyProtection="1">
      <alignment horizontal="right"/>
      <protection locked="0"/>
    </xf>
    <xf numFmtId="0" fontId="14" fillId="0" borderId="8" xfId="0" applyFont="1" applyBorder="1" applyAlignment="1">
      <alignment horizontal="right"/>
    </xf>
    <xf numFmtId="165" fontId="13" fillId="12" borderId="24" xfId="0" applyNumberFormat="1" applyFont="1" applyFill="1" applyBorder="1" applyAlignment="1" applyProtection="1">
      <alignment horizontal="right"/>
      <protection locked="0"/>
    </xf>
    <xf numFmtId="0" fontId="14" fillId="0" borderId="23" xfId="0" applyFont="1" applyFill="1" applyBorder="1" applyAlignment="1" applyProtection="1">
      <alignment horizontal="right"/>
    </xf>
    <xf numFmtId="4" fontId="14" fillId="0" borderId="23" xfId="0" applyNumberFormat="1" applyFont="1" applyFill="1" applyBorder="1" applyAlignment="1" applyProtection="1">
      <alignment horizontal="right"/>
      <protection locked="0"/>
    </xf>
    <xf numFmtId="0" fontId="14" fillId="0" borderId="23" xfId="0" applyFont="1" applyBorder="1" applyAlignment="1" applyProtection="1">
      <alignment horizontal="center" vertical="center"/>
      <protection locked="0"/>
    </xf>
    <xf numFmtId="165" fontId="13" fillId="13" borderId="24" xfId="0" applyNumberFormat="1" applyFont="1" applyFill="1" applyBorder="1" applyAlignment="1" applyProtection="1">
      <alignment horizontal="right"/>
      <protection locked="0"/>
    </xf>
    <xf numFmtId="0" fontId="14" fillId="0" borderId="23" xfId="0" applyFont="1" applyFill="1" applyBorder="1" applyAlignment="1" applyProtection="1">
      <alignment horizontal="left"/>
      <protection locked="0"/>
    </xf>
    <xf numFmtId="0" fontId="13" fillId="14" borderId="23" xfId="0" applyFont="1" applyFill="1" applyBorder="1" applyAlignment="1" applyProtection="1">
      <alignment horizontal="right"/>
      <protection locked="0"/>
    </xf>
    <xf numFmtId="0" fontId="14" fillId="0" borderId="25" xfId="0" applyFont="1" applyFill="1" applyBorder="1" applyAlignment="1" applyProtection="1">
      <alignment horizontal="right"/>
      <protection locked="0"/>
    </xf>
    <xf numFmtId="164" fontId="13" fillId="15" borderId="26" xfId="0" applyNumberFormat="1" applyFont="1" applyFill="1" applyBorder="1" applyAlignment="1" applyProtection="1">
      <alignment horizontal="right"/>
      <protection locked="0"/>
    </xf>
    <xf numFmtId="4" fontId="13" fillId="0" borderId="23" xfId="0" applyNumberFormat="1" applyFont="1" applyBorder="1" applyAlignment="1" applyProtection="1">
      <alignment horizontal="right"/>
      <protection locked="0"/>
    </xf>
    <xf numFmtId="4" fontId="13" fillId="11" borderId="14" xfId="0" applyNumberFormat="1" applyFont="1" applyFill="1" applyBorder="1" applyProtection="1">
      <protection locked="0"/>
    </xf>
    <xf numFmtId="0" fontId="14" fillId="0" borderId="14" xfId="0" applyFont="1" applyFill="1" applyBorder="1" applyAlignment="1" applyProtection="1">
      <alignment horizontal="right"/>
      <protection locked="0"/>
    </xf>
    <xf numFmtId="2" fontId="14" fillId="0" borderId="25" xfId="0" applyNumberFormat="1" applyFont="1" applyFill="1" applyBorder="1" applyAlignment="1" applyProtection="1">
      <alignment horizontal="right"/>
      <protection locked="0"/>
    </xf>
    <xf numFmtId="0" fontId="14" fillId="0" borderId="23" xfId="0" applyFont="1" applyFill="1" applyBorder="1" applyProtection="1">
      <protection locked="0"/>
    </xf>
    <xf numFmtId="165" fontId="14" fillId="0" borderId="14" xfId="0" applyNumberFormat="1" applyFont="1" applyBorder="1" applyAlignment="1" applyProtection="1">
      <alignment horizontal="right"/>
      <protection locked="0"/>
    </xf>
    <xf numFmtId="0" fontId="14" fillId="0" borderId="14" xfId="0" applyFont="1" applyFill="1" applyBorder="1" applyAlignment="1" applyProtection="1">
      <alignment horizontal="left"/>
      <protection locked="0"/>
    </xf>
    <xf numFmtId="0" fontId="14" fillId="0" borderId="23" xfId="0" applyFont="1" applyBorder="1" applyAlignment="1" applyProtection="1">
      <alignment horizontal="left" vertical="center"/>
      <protection locked="0"/>
    </xf>
    <xf numFmtId="0" fontId="14" fillId="16" borderId="14" xfId="2" applyFont="1" applyFill="1" applyBorder="1"/>
    <xf numFmtId="0" fontId="14" fillId="0" borderId="27" xfId="2" applyFont="1" applyBorder="1" applyAlignment="1">
      <alignment horizontal="center" vertical="center"/>
    </xf>
    <xf numFmtId="0" fontId="14" fillId="0" borderId="27" xfId="2" applyFont="1" applyBorder="1"/>
    <xf numFmtId="0" fontId="14" fillId="0" borderId="28" xfId="0" applyFont="1" applyBorder="1" applyProtection="1">
      <protection locked="0"/>
    </xf>
    <xf numFmtId="0" fontId="14" fillId="0" borderId="29" xfId="0" applyFont="1" applyBorder="1" applyProtection="1">
      <protection locked="0"/>
    </xf>
    <xf numFmtId="0" fontId="14" fillId="0" borderId="29" xfId="0" applyFont="1" applyFill="1" applyBorder="1" applyAlignment="1" applyProtection="1">
      <alignment horizontal="center"/>
      <protection locked="0"/>
    </xf>
    <xf numFmtId="0" fontId="14" fillId="0" borderId="27" xfId="0" applyFont="1" applyFill="1" applyBorder="1" applyAlignment="1" applyProtection="1">
      <alignment horizontal="center"/>
      <protection locked="0"/>
    </xf>
    <xf numFmtId="4" fontId="13" fillId="11" borderId="27" xfId="0" applyNumberFormat="1" applyFont="1" applyFill="1" applyBorder="1" applyProtection="1">
      <protection locked="0"/>
    </xf>
    <xf numFmtId="0" fontId="14" fillId="0" borderId="29" xfId="0" applyFont="1" applyFill="1" applyBorder="1" applyAlignment="1" applyProtection="1">
      <alignment horizontal="right"/>
      <protection locked="0"/>
    </xf>
    <xf numFmtId="0" fontId="14" fillId="0" borderId="29" xfId="0" applyFont="1" applyBorder="1" applyAlignment="1" applyProtection="1">
      <alignment horizontal="right"/>
      <protection locked="0"/>
    </xf>
    <xf numFmtId="0" fontId="14" fillId="0" borderId="17" xfId="0" applyFont="1" applyBorder="1" applyAlignment="1">
      <alignment horizontal="right"/>
    </xf>
    <xf numFmtId="165" fontId="13" fillId="12" borderId="30" xfId="0" applyNumberFormat="1" applyFont="1" applyFill="1" applyBorder="1" applyAlignment="1" applyProtection="1">
      <alignment horizontal="right"/>
      <protection locked="0"/>
    </xf>
    <xf numFmtId="4" fontId="14" fillId="0" borderId="29" xfId="0" applyNumberFormat="1" applyFont="1" applyFill="1" applyBorder="1" applyAlignment="1" applyProtection="1">
      <alignment horizontal="right"/>
      <protection locked="0"/>
    </xf>
    <xf numFmtId="0" fontId="14" fillId="0" borderId="29" xfId="0" applyFont="1" applyBorder="1" applyAlignment="1" applyProtection="1">
      <alignment horizontal="center" vertical="center"/>
      <protection locked="0"/>
    </xf>
    <xf numFmtId="165" fontId="13" fillId="13" borderId="30" xfId="0" applyNumberFormat="1" applyFont="1" applyFill="1" applyBorder="1" applyAlignment="1" applyProtection="1">
      <alignment horizontal="right"/>
      <protection locked="0"/>
    </xf>
    <xf numFmtId="0" fontId="14" fillId="0" borderId="27" xfId="0" applyFont="1" applyFill="1" applyBorder="1" applyAlignment="1" applyProtection="1">
      <alignment horizontal="right"/>
      <protection locked="0"/>
    </xf>
    <xf numFmtId="0" fontId="14" fillId="0" borderId="29" xfId="0" applyFont="1" applyFill="1" applyBorder="1" applyAlignment="1" applyProtection="1">
      <alignment horizontal="left"/>
      <protection locked="0"/>
    </xf>
    <xf numFmtId="0" fontId="13" fillId="14" borderId="29" xfId="0" applyFont="1" applyFill="1" applyBorder="1" applyAlignment="1" applyProtection="1">
      <alignment horizontal="right"/>
      <protection locked="0"/>
    </xf>
    <xf numFmtId="2" fontId="14" fillId="0" borderId="31" xfId="0" applyNumberFormat="1" applyFont="1" applyFill="1" applyBorder="1" applyAlignment="1" applyProtection="1">
      <alignment horizontal="right"/>
      <protection locked="0"/>
    </xf>
    <xf numFmtId="164" fontId="13" fillId="15" borderId="32" xfId="0" applyNumberFormat="1" applyFont="1" applyFill="1" applyBorder="1" applyAlignment="1" applyProtection="1">
      <alignment horizontal="right"/>
      <protection locked="0"/>
    </xf>
    <xf numFmtId="4" fontId="13" fillId="0" borderId="29" xfId="0" applyNumberFormat="1" applyFont="1" applyBorder="1" applyAlignment="1" applyProtection="1">
      <alignment horizontal="right"/>
      <protection locked="0"/>
    </xf>
    <xf numFmtId="0" fontId="4" fillId="0" borderId="2" xfId="0" applyFont="1" applyBorder="1" applyAlignment="1">
      <alignment horizontal="center" vertical="center" textRotation="90"/>
    </xf>
    <xf numFmtId="0" fontId="4" fillId="0" borderId="3" xfId="0" applyFont="1" applyBorder="1" applyAlignment="1">
      <alignment horizontal="center" vertical="center" textRotation="90"/>
    </xf>
    <xf numFmtId="0" fontId="4" fillId="0" borderId="3" xfId="0" applyFont="1" applyBorder="1" applyAlignment="1">
      <alignment horizontal="center" vertical="center" textRotation="90" wrapText="1"/>
    </xf>
    <xf numFmtId="4" fontId="4" fillId="0" borderId="3" xfId="0" applyNumberFormat="1" applyFont="1" applyBorder="1" applyAlignment="1">
      <alignment horizontal="center" vertical="center" textRotation="90"/>
    </xf>
    <xf numFmtId="0" fontId="4" fillId="8" borderId="3" xfId="0" applyFont="1" applyFill="1" applyBorder="1" applyAlignment="1">
      <alignment horizontal="center" vertical="center" textRotation="90"/>
    </xf>
    <xf numFmtId="0" fontId="4" fillId="0" borderId="5" xfId="0" applyFont="1" applyBorder="1" applyAlignment="1">
      <alignment horizontal="center" vertical="center" textRotation="90"/>
    </xf>
    <xf numFmtId="0" fontId="4" fillId="4" borderId="4" xfId="0" applyFont="1" applyFill="1" applyBorder="1" applyAlignment="1">
      <alignment horizontal="center" vertical="center" textRotation="90"/>
    </xf>
    <xf numFmtId="0" fontId="4" fillId="0" borderId="3" xfId="0" applyFont="1" applyBorder="1" applyAlignment="1">
      <alignment horizontal="left" vertical="center" textRotation="90"/>
    </xf>
    <xf numFmtId="0" fontId="4" fillId="5" borderId="4" xfId="0" applyFont="1" applyFill="1" applyBorder="1" applyAlignment="1">
      <alignment horizontal="center" vertical="center" textRotation="90"/>
    </xf>
    <xf numFmtId="0" fontId="4" fillId="0" borderId="35" xfId="0" applyFont="1" applyBorder="1" applyAlignment="1">
      <alignment horizontal="center" vertical="center" textRotation="90" wrapText="1"/>
    </xf>
    <xf numFmtId="0" fontId="4" fillId="0" borderId="21" xfId="0" applyFont="1" applyBorder="1" applyAlignment="1">
      <alignment horizontal="center" vertical="center" textRotation="90" wrapText="1"/>
    </xf>
    <xf numFmtId="4" fontId="4" fillId="6" borderId="4" xfId="0" applyNumberFormat="1" applyFont="1" applyFill="1" applyBorder="1" applyAlignment="1">
      <alignment horizontal="center" vertical="center" textRotation="90" wrapText="1"/>
    </xf>
    <xf numFmtId="2" fontId="4" fillId="0" borderId="2" xfId="0" applyNumberFormat="1" applyFont="1" applyBorder="1" applyAlignment="1">
      <alignment horizontal="center" vertical="center" textRotation="90"/>
    </xf>
    <xf numFmtId="4" fontId="4" fillId="2" borderId="1" xfId="0" applyNumberFormat="1" applyFont="1" applyFill="1" applyBorder="1" applyAlignment="1">
      <alignment vertical="center" textRotation="90" wrapText="1"/>
    </xf>
    <xf numFmtId="0" fontId="3" fillId="11" borderId="6" xfId="0" applyFont="1" applyFill="1" applyBorder="1"/>
    <xf numFmtId="0" fontId="5" fillId="11" borderId="7" xfId="0" applyFont="1" applyFill="1" applyBorder="1"/>
    <xf numFmtId="0" fontId="3" fillId="11" borderId="7" xfId="0" applyFont="1" applyFill="1" applyBorder="1" applyAlignment="1">
      <alignment horizontal="center"/>
    </xf>
    <xf numFmtId="0" fontId="3" fillId="11" borderId="0" xfId="0" applyFont="1" applyFill="1" applyAlignment="1">
      <alignment horizontal="left"/>
    </xf>
    <xf numFmtId="0" fontId="3" fillId="11" borderId="7" xfId="0" applyFont="1" applyFill="1" applyBorder="1" applyAlignment="1">
      <alignment horizontal="left"/>
    </xf>
    <xf numFmtId="3" fontId="4" fillId="18" borderId="6" xfId="0" applyNumberFormat="1" applyFont="1" applyFill="1" applyBorder="1" applyAlignment="1">
      <alignment horizontal="center"/>
    </xf>
    <xf numFmtId="1" fontId="3" fillId="11" borderId="8" xfId="0" applyNumberFormat="1" applyFont="1" applyFill="1" applyBorder="1" applyAlignment="1">
      <alignment horizontal="center"/>
    </xf>
    <xf numFmtId="165" fontId="4" fillId="19" borderId="9" xfId="0" applyNumberFormat="1" applyFont="1" applyFill="1" applyBorder="1" applyAlignment="1">
      <alignment horizontal="center"/>
    </xf>
    <xf numFmtId="165" fontId="3" fillId="11" borderId="6" xfId="0" applyNumberFormat="1" applyFont="1" applyFill="1" applyBorder="1" applyAlignment="1">
      <alignment horizontal="center"/>
    </xf>
    <xf numFmtId="164" fontId="3" fillId="11" borderId="7" xfId="0" applyNumberFormat="1" applyFont="1" applyFill="1" applyBorder="1" applyAlignment="1">
      <alignment horizontal="center"/>
    </xf>
    <xf numFmtId="2" fontId="3" fillId="11" borderId="7" xfId="0" applyNumberFormat="1" applyFont="1" applyFill="1" applyBorder="1" applyAlignment="1">
      <alignment horizontal="center"/>
    </xf>
    <xf numFmtId="0" fontId="3" fillId="11" borderId="7" xfId="0" applyFont="1" applyFill="1" applyBorder="1" applyAlignment="1">
      <alignment horizontal="right"/>
    </xf>
    <xf numFmtId="2" fontId="4" fillId="20" borderId="9" xfId="0" applyNumberFormat="1" applyFont="1" applyFill="1" applyBorder="1" applyAlignment="1">
      <alignment horizontal="right"/>
    </xf>
    <xf numFmtId="165" fontId="3" fillId="11" borderId="7" xfId="0" applyNumberFormat="1" applyFont="1" applyFill="1" applyBorder="1" applyAlignment="1">
      <alignment horizontal="right"/>
    </xf>
    <xf numFmtId="2" fontId="4" fillId="21" borderId="7" xfId="0" applyNumberFormat="1" applyFont="1" applyFill="1" applyBorder="1" applyAlignment="1">
      <alignment horizontal="right"/>
    </xf>
    <xf numFmtId="0" fontId="3" fillId="11" borderId="10" xfId="0" applyFont="1" applyFill="1" applyBorder="1" applyAlignment="1">
      <alignment horizontal="right"/>
    </xf>
    <xf numFmtId="4" fontId="4" fillId="22" borderId="11" xfId="0" applyNumberFormat="1" applyFont="1" applyFill="1" applyBorder="1" applyAlignment="1">
      <alignment horizontal="right"/>
    </xf>
    <xf numFmtId="4" fontId="4" fillId="11" borderId="7" xfId="0" applyNumberFormat="1" applyFont="1" applyFill="1" applyBorder="1" applyAlignment="1">
      <alignment horizontal="right"/>
    </xf>
    <xf numFmtId="3" fontId="4" fillId="0" borderId="0" xfId="0" applyNumberFormat="1" applyFont="1"/>
    <xf numFmtId="9" fontId="2" fillId="0" borderId="0" xfId="0" applyNumberFormat="1" applyFont="1" applyAlignment="1"/>
    <xf numFmtId="0" fontId="5" fillId="0" borderId="34" xfId="0" applyFont="1" applyBorder="1"/>
    <xf numFmtId="0" fontId="5" fillId="0" borderId="8" xfId="0" applyFont="1" applyBorder="1" applyAlignment="1"/>
    <xf numFmtId="0" fontId="5" fillId="0" borderId="16" xfId="0" applyFont="1" applyBorder="1"/>
    <xf numFmtId="0" fontId="5" fillId="0" borderId="14" xfId="0" applyFont="1" applyBorder="1"/>
    <xf numFmtId="0" fontId="0" fillId="0" borderId="14" xfId="0" applyBorder="1"/>
    <xf numFmtId="167" fontId="5" fillId="0" borderId="10" xfId="0" applyNumberFormat="1" applyFont="1" applyBorder="1"/>
    <xf numFmtId="0" fontId="5" fillId="0" borderId="10" xfId="0" applyFont="1" applyBorder="1" applyAlignment="1"/>
    <xf numFmtId="0" fontId="5" fillId="0" borderId="10" xfId="0" applyFont="1" applyBorder="1"/>
    <xf numFmtId="166" fontId="3" fillId="0" borderId="15" xfId="0" applyNumberFormat="1" applyFont="1" applyBorder="1" applyAlignment="1">
      <alignment horizontal="center"/>
    </xf>
    <xf numFmtId="166" fontId="3" fillId="0" borderId="13" xfId="0" applyNumberFormat="1" applyFont="1" applyBorder="1" applyAlignment="1">
      <alignment horizontal="center"/>
    </xf>
    <xf numFmtId="41" fontId="3" fillId="0" borderId="7" xfId="0" applyNumberFormat="1" applyFont="1" applyBorder="1" applyAlignment="1">
      <alignment horizontal="left"/>
    </xf>
    <xf numFmtId="0" fontId="3" fillId="0" borderId="37" xfId="0" applyFont="1" applyBorder="1" applyAlignment="1">
      <alignment horizontal="right"/>
    </xf>
    <xf numFmtId="165" fontId="4" fillId="3" borderId="33" xfId="0" applyNumberFormat="1" applyFont="1" applyFill="1" applyBorder="1" applyAlignment="1">
      <alignment horizontal="right"/>
    </xf>
    <xf numFmtId="3" fontId="0" fillId="0" borderId="0" xfId="0" applyNumberFormat="1"/>
    <xf numFmtId="0" fontId="3" fillId="0" borderId="10" xfId="0" applyFont="1" applyFill="1" applyBorder="1" applyAlignment="1">
      <alignment horizontal="right"/>
    </xf>
    <xf numFmtId="0" fontId="4" fillId="0" borderId="38" xfId="0" applyFont="1" applyBorder="1" applyAlignment="1">
      <alignment horizontal="center" textRotation="90"/>
    </xf>
    <xf numFmtId="0" fontId="3" fillId="11" borderId="10" xfId="0" applyFont="1" applyFill="1" applyBorder="1" applyAlignment="1">
      <alignment horizontal="center"/>
    </xf>
    <xf numFmtId="0" fontId="3" fillId="0" borderId="10" xfId="0" applyFont="1" applyBorder="1" applyAlignment="1">
      <alignment horizontal="center"/>
    </xf>
    <xf numFmtId="0" fontId="3" fillId="11" borderId="8" xfId="0" applyFont="1" applyFill="1" applyBorder="1" applyAlignment="1">
      <alignment horizontal="center"/>
    </xf>
    <xf numFmtId="0" fontId="3" fillId="0" borderId="8" xfId="0" applyFont="1" applyBorder="1" applyAlignment="1">
      <alignment horizontal="center"/>
    </xf>
    <xf numFmtId="0" fontId="5" fillId="11" borderId="10" xfId="0" applyFont="1" applyFill="1" applyBorder="1"/>
    <xf numFmtId="0" fontId="5" fillId="11" borderId="8" xfId="0" applyFont="1" applyFill="1" applyBorder="1" applyAlignment="1"/>
    <xf numFmtId="0" fontId="5" fillId="0" borderId="8" xfId="0" applyFont="1" applyBorder="1"/>
    <xf numFmtId="0" fontId="4" fillId="0" borderId="13" xfId="0" applyFont="1" applyBorder="1" applyAlignment="1">
      <alignment horizontal="center" textRotation="90"/>
    </xf>
    <xf numFmtId="3" fontId="14" fillId="0" borderId="0" xfId="0" applyNumberFormat="1" applyFont="1"/>
    <xf numFmtId="0" fontId="11" fillId="0" borderId="0" xfId="0" applyFont="1" applyAlignment="1">
      <alignment horizontal="left"/>
    </xf>
    <xf numFmtId="0" fontId="0" fillId="11" borderId="14" xfId="0" applyFill="1" applyBorder="1"/>
    <xf numFmtId="3" fontId="3" fillId="0" borderId="0" xfId="0" applyNumberFormat="1" applyFont="1"/>
    <xf numFmtId="9" fontId="13" fillId="0" borderId="0" xfId="0" applyNumberFormat="1" applyFont="1"/>
    <xf numFmtId="3" fontId="2" fillId="0" borderId="0" xfId="0" applyNumberFormat="1" applyFont="1"/>
    <xf numFmtId="9" fontId="2" fillId="0" borderId="0" xfId="0" applyNumberFormat="1" applyFont="1"/>
    <xf numFmtId="0" fontId="3" fillId="0" borderId="7" xfId="0" applyFont="1" applyBorder="1" applyAlignment="1"/>
    <xf numFmtId="0" fontId="5" fillId="0" borderId="6" xfId="0" applyFont="1" applyBorder="1" applyAlignment="1"/>
    <xf numFmtId="0" fontId="5" fillId="0" borderId="15" xfId="0" applyFont="1" applyBorder="1" applyAlignment="1"/>
    <xf numFmtId="167" fontId="5" fillId="0" borderId="6" xfId="0" applyNumberFormat="1" applyFont="1" applyBorder="1"/>
    <xf numFmtId="167" fontId="3" fillId="0" borderId="7" xfId="0" applyNumberFormat="1" applyFont="1" applyBorder="1" applyAlignment="1"/>
    <xf numFmtId="0" fontId="0" fillId="0" borderId="7" xfId="0" applyBorder="1"/>
    <xf numFmtId="167" fontId="5" fillId="0" borderId="14" xfId="0" applyNumberFormat="1" applyFont="1" applyBorder="1"/>
    <xf numFmtId="0" fontId="0" fillId="0" borderId="6" xfId="0" applyBorder="1"/>
    <xf numFmtId="0" fontId="5" fillId="0" borderId="14" xfId="0" applyFont="1" applyBorder="1" applyAlignment="1"/>
    <xf numFmtId="166" fontId="3" fillId="0" borderId="14" xfId="0" applyNumberFormat="1" applyFont="1" applyBorder="1" applyAlignment="1">
      <alignment horizontal="center"/>
    </xf>
    <xf numFmtId="166" fontId="3" fillId="0" borderId="7" xfId="0" applyNumberFormat="1" applyFont="1" applyBorder="1" applyAlignment="1"/>
    <xf numFmtId="166" fontId="3" fillId="0" borderId="34" xfId="0" applyNumberFormat="1" applyFont="1" applyBorder="1" applyAlignment="1">
      <alignment horizontal="center"/>
    </xf>
    <xf numFmtId="166" fontId="3" fillId="0" borderId="36" xfId="0" applyNumberFormat="1" applyFont="1" applyBorder="1" applyAlignment="1">
      <alignment horizontal="center"/>
    </xf>
    <xf numFmtId="167" fontId="3" fillId="0" borderId="15" xfId="0" applyNumberFormat="1" applyFont="1" applyBorder="1" applyAlignment="1">
      <alignment horizontal="center"/>
    </xf>
    <xf numFmtId="0" fontId="3" fillId="0" borderId="15" xfId="0" applyFont="1" applyBorder="1" applyAlignment="1">
      <alignment horizontal="center"/>
    </xf>
    <xf numFmtId="0" fontId="0" fillId="0" borderId="8" xfId="0" applyBorder="1"/>
    <xf numFmtId="0" fontId="0" fillId="0" borderId="7" xfId="0" applyFont="1" applyBorder="1" applyAlignment="1"/>
    <xf numFmtId="166" fontId="3" fillId="0" borderId="14" xfId="0" applyNumberFormat="1" applyFont="1" applyBorder="1" applyAlignment="1">
      <alignment horizontal="left"/>
    </xf>
    <xf numFmtId="166" fontId="3" fillId="0" borderId="10" xfId="0" applyNumberFormat="1" applyFont="1" applyFill="1" applyBorder="1" applyAlignment="1">
      <alignment horizontal="left"/>
    </xf>
    <xf numFmtId="0" fontId="13" fillId="0" borderId="0" xfId="0" applyFont="1"/>
    <xf numFmtId="3" fontId="13" fillId="0" borderId="0" xfId="0" applyNumberFormat="1" applyFont="1"/>
    <xf numFmtId="0" fontId="17" fillId="0" borderId="7" xfId="0" applyFont="1" applyBorder="1" applyAlignment="1">
      <alignment horizontal="right"/>
    </xf>
    <xf numFmtId="2" fontId="17" fillId="0" borderId="7" xfId="0" applyNumberFormat="1" applyFont="1" applyBorder="1" applyAlignment="1">
      <alignment horizontal="right"/>
    </xf>
    <xf numFmtId="0" fontId="17" fillId="0" borderId="13" xfId="0" applyFont="1" applyBorder="1" applyAlignment="1">
      <alignment horizontal="right"/>
    </xf>
    <xf numFmtId="2" fontId="17" fillId="0" borderId="13" xfId="0" applyNumberFormat="1" applyFont="1" applyBorder="1" applyAlignment="1">
      <alignment horizontal="right"/>
    </xf>
    <xf numFmtId="0" fontId="12" fillId="0" borderId="7" xfId="0" applyFont="1" applyFill="1" applyBorder="1" applyAlignment="1">
      <alignment horizontal="right"/>
    </xf>
    <xf numFmtId="0" fontId="12" fillId="0" borderId="8" xfId="0" applyFont="1" applyFill="1" applyBorder="1" applyAlignment="1">
      <alignment horizontal="right"/>
    </xf>
    <xf numFmtId="0" fontId="14" fillId="9" borderId="23" xfId="0" applyFont="1" applyFill="1" applyBorder="1" applyAlignment="1" applyProtection="1">
      <alignment horizontal="right"/>
      <protection locked="0"/>
    </xf>
    <xf numFmtId="165" fontId="14" fillId="9" borderId="23" xfId="0" applyNumberFormat="1" applyFont="1" applyFill="1" applyBorder="1" applyAlignment="1" applyProtection="1">
      <alignment horizontal="right"/>
      <protection locked="0"/>
    </xf>
    <xf numFmtId="0" fontId="3" fillId="0" borderId="0" xfId="0" applyFont="1" applyFill="1" applyBorder="1" applyAlignment="1">
      <alignment horizontal="center"/>
    </xf>
    <xf numFmtId="0" fontId="0" fillId="0" borderId="0" xfId="0" applyFont="1"/>
    <xf numFmtId="0" fontId="20" fillId="0" borderId="0" xfId="0" applyFont="1"/>
    <xf numFmtId="9" fontId="3" fillId="0" borderId="0" xfId="1" applyFont="1"/>
    <xf numFmtId="9" fontId="0" fillId="0" borderId="0" xfId="0" applyNumberFormat="1" applyFont="1"/>
    <xf numFmtId="9" fontId="0" fillId="0" borderId="0" xfId="0" applyNumberFormat="1"/>
    <xf numFmtId="0" fontId="5" fillId="0" borderId="7" xfId="0" applyFont="1" applyFill="1" applyBorder="1"/>
    <xf numFmtId="9" fontId="4" fillId="0" borderId="0" xfId="1" applyFont="1"/>
    <xf numFmtId="0" fontId="4" fillId="0" borderId="21" xfId="0" applyFont="1" applyBorder="1" applyAlignment="1">
      <alignment horizontal="center" vertical="center" textRotation="90"/>
    </xf>
    <xf numFmtId="164" fontId="4" fillId="0" borderId="10" xfId="0" applyNumberFormat="1" applyFont="1" applyBorder="1" applyAlignment="1">
      <alignment horizontal="right"/>
    </xf>
    <xf numFmtId="164" fontId="4" fillId="0" borderId="19" xfId="0" applyNumberFormat="1" applyFont="1" applyBorder="1" applyAlignment="1">
      <alignment horizontal="right"/>
    </xf>
    <xf numFmtId="3" fontId="18" fillId="0" borderId="39" xfId="0" applyNumberFormat="1" applyFont="1" applyBorder="1"/>
    <xf numFmtId="3" fontId="5" fillId="0" borderId="40" xfId="0" applyNumberFormat="1" applyFont="1" applyBorder="1"/>
    <xf numFmtId="0" fontId="3" fillId="0" borderId="40" xfId="0" applyFont="1" applyBorder="1"/>
    <xf numFmtId="0" fontId="0" fillId="0" borderId="41" xfId="0" applyFont="1" applyBorder="1" applyAlignment="1"/>
    <xf numFmtId="164" fontId="6" fillId="0" borderId="42" xfId="0" applyNumberFormat="1" applyFont="1" applyBorder="1" applyAlignment="1">
      <alignment vertical="center" textRotation="90"/>
    </xf>
    <xf numFmtId="3" fontId="6" fillId="7" borderId="0" xfId="0" applyNumberFormat="1" applyFont="1" applyFill="1" applyBorder="1" applyAlignment="1">
      <alignment vertical="center" textRotation="90"/>
    </xf>
    <xf numFmtId="0" fontId="4" fillId="0" borderId="0" xfId="0" applyFont="1" applyBorder="1" applyAlignment="1">
      <alignment vertical="center" textRotation="90"/>
    </xf>
    <xf numFmtId="0" fontId="6" fillId="0" borderId="0" xfId="0" applyFont="1" applyBorder="1" applyAlignment="1">
      <alignment horizontal="center" vertical="center" textRotation="90" wrapText="1"/>
    </xf>
    <xf numFmtId="0" fontId="4" fillId="0" borderId="0" xfId="0" applyFont="1" applyBorder="1" applyAlignment="1">
      <alignment horizontal="center" vertical="center" textRotation="90" wrapText="1"/>
    </xf>
    <xf numFmtId="0" fontId="4" fillId="0" borderId="43" xfId="0" applyFont="1" applyBorder="1" applyAlignment="1">
      <alignment horizontal="center" vertical="center" textRotation="90" wrapText="1"/>
    </xf>
    <xf numFmtId="164" fontId="5" fillId="0" borderId="42" xfId="0" applyNumberFormat="1" applyFont="1" applyBorder="1"/>
    <xf numFmtId="3" fontId="5" fillId="7" borderId="0" xfId="0" applyNumberFormat="1" applyFont="1" applyFill="1" applyBorder="1"/>
    <xf numFmtId="1" fontId="5" fillId="0" borderId="0" xfId="0" applyNumberFormat="1" applyFont="1" applyBorder="1"/>
    <xf numFmtId="3" fontId="5" fillId="0" borderId="0" xfId="0" applyNumberFormat="1" applyFont="1" applyBorder="1"/>
    <xf numFmtId="9" fontId="3" fillId="0" borderId="0" xfId="1" applyFont="1" applyBorder="1"/>
    <xf numFmtId="9" fontId="0" fillId="0" borderId="43" xfId="1" applyFont="1" applyBorder="1" applyAlignment="1"/>
    <xf numFmtId="164" fontId="5" fillId="9" borderId="42" xfId="0" applyNumberFormat="1" applyFont="1" applyFill="1" applyBorder="1"/>
    <xf numFmtId="164" fontId="5" fillId="0" borderId="44" xfId="0" applyNumberFormat="1" applyFont="1" applyBorder="1"/>
    <xf numFmtId="3" fontId="5" fillId="7" borderId="45" xfId="0" applyNumberFormat="1" applyFont="1" applyFill="1" applyBorder="1"/>
    <xf numFmtId="1" fontId="5" fillId="0" borderId="45" xfId="0" applyNumberFormat="1" applyFont="1" applyBorder="1"/>
    <xf numFmtId="3" fontId="5" fillId="0" borderId="45" xfId="0" applyNumberFormat="1" applyFont="1" applyBorder="1"/>
    <xf numFmtId="9" fontId="3" fillId="0" borderId="45" xfId="1" applyFont="1" applyBorder="1"/>
    <xf numFmtId="9" fontId="0" fillId="0" borderId="46" xfId="1" applyFont="1" applyBorder="1" applyAlignment="1"/>
    <xf numFmtId="3" fontId="5" fillId="9" borderId="0" xfId="0" applyNumberFormat="1" applyFont="1" applyFill="1" applyBorder="1"/>
    <xf numFmtId="165" fontId="4" fillId="0" borderId="10" xfId="0" applyNumberFormat="1" applyFont="1" applyBorder="1" applyAlignment="1">
      <alignment horizontal="right"/>
    </xf>
    <xf numFmtId="165" fontId="4" fillId="0" borderId="34" xfId="0" applyNumberFormat="1" applyFont="1" applyBorder="1" applyAlignment="1">
      <alignment horizontal="right"/>
    </xf>
    <xf numFmtId="0" fontId="0" fillId="0" borderId="40" xfId="0" applyBorder="1"/>
    <xf numFmtId="0" fontId="19" fillId="0" borderId="40" xfId="0" applyFont="1" applyBorder="1"/>
    <xf numFmtId="0" fontId="20" fillId="0" borderId="41" xfId="0" applyFont="1" applyBorder="1" applyAlignment="1"/>
    <xf numFmtId="3" fontId="6" fillId="17" borderId="0" xfId="0" applyNumberFormat="1" applyFont="1" applyFill="1" applyBorder="1" applyAlignment="1">
      <alignment vertical="center" textRotation="90"/>
    </xf>
    <xf numFmtId="0" fontId="6" fillId="0" borderId="43" xfId="0" applyFont="1" applyBorder="1" applyAlignment="1">
      <alignment horizontal="center" vertical="center" textRotation="90" wrapText="1"/>
    </xf>
    <xf numFmtId="165" fontId="5" fillId="0" borderId="0" xfId="0" applyNumberFormat="1" applyFont="1" applyBorder="1"/>
    <xf numFmtId="0" fontId="0" fillId="0" borderId="0" xfId="0" applyFont="1" applyBorder="1"/>
    <xf numFmtId="9" fontId="3" fillId="9" borderId="0" xfId="1" applyFont="1" applyFill="1" applyBorder="1"/>
    <xf numFmtId="9" fontId="0" fillId="9" borderId="43" xfId="1" applyFont="1" applyFill="1" applyBorder="1" applyAlignment="1"/>
    <xf numFmtId="1" fontId="4" fillId="0" borderId="34" xfId="0" applyNumberFormat="1" applyFont="1" applyBorder="1" applyAlignment="1">
      <alignment horizontal="right"/>
    </xf>
    <xf numFmtId="3" fontId="6" fillId="0" borderId="40" xfId="0" applyNumberFormat="1" applyFont="1" applyBorder="1"/>
    <xf numFmtId="0" fontId="3" fillId="0" borderId="41" xfId="0" applyFont="1" applyBorder="1"/>
    <xf numFmtId="0" fontId="5" fillId="0" borderId="45" xfId="0" applyFont="1" applyBorder="1"/>
    <xf numFmtId="9" fontId="5" fillId="0" borderId="45" xfId="1" applyFont="1" applyBorder="1"/>
    <xf numFmtId="9" fontId="14" fillId="0" borderId="46" xfId="1" applyFont="1" applyBorder="1" applyAlignment="1"/>
    <xf numFmtId="0" fontId="5" fillId="0" borderId="0" xfId="0" applyFont="1" applyBorder="1"/>
    <xf numFmtId="9" fontId="5" fillId="0" borderId="0" xfId="1" applyFont="1" applyBorder="1"/>
    <xf numFmtId="9" fontId="14" fillId="0" borderId="43" xfId="1" applyFont="1" applyBorder="1" applyAlignment="1"/>
    <xf numFmtId="1" fontId="4" fillId="0" borderId="10" xfId="0" applyNumberFormat="1" applyFont="1" applyBorder="1" applyAlignment="1">
      <alignment horizontal="right"/>
    </xf>
    <xf numFmtId="9" fontId="1" fillId="0" borderId="0" xfId="1" applyFont="1" applyAlignment="1"/>
    <xf numFmtId="3" fontId="1" fillId="0" borderId="0" xfId="0" applyNumberFormat="1" applyFont="1"/>
    <xf numFmtId="4" fontId="4" fillId="23" borderId="7" xfId="0" applyNumberFormat="1" applyFont="1" applyFill="1" applyBorder="1" applyAlignment="1"/>
    <xf numFmtId="4" fontId="4" fillId="18" borderId="6" xfId="0" applyNumberFormat="1" applyFont="1" applyFill="1" applyBorder="1"/>
    <xf numFmtId="4" fontId="4" fillId="23" borderId="6" xfId="0" applyNumberFormat="1" applyFont="1" applyFill="1" applyBorder="1" applyAlignment="1"/>
    <xf numFmtId="0" fontId="3" fillId="0" borderId="0" xfId="0" applyFont="1" applyFill="1" applyBorder="1" applyAlignment="1"/>
    <xf numFmtId="2" fontId="4" fillId="0" borderId="34" xfId="0" applyNumberFormat="1" applyFont="1" applyBorder="1" applyAlignment="1">
      <alignment horizontal="right"/>
    </xf>
    <xf numFmtId="2" fontId="4" fillId="11" borderId="10" xfId="0" applyNumberFormat="1" applyFont="1" applyFill="1" applyBorder="1" applyAlignment="1">
      <alignment horizontal="right"/>
    </xf>
    <xf numFmtId="164" fontId="5" fillId="11" borderId="42" xfId="0" applyNumberFormat="1" applyFont="1" applyFill="1" applyBorder="1"/>
    <xf numFmtId="0" fontId="5" fillId="11" borderId="0" xfId="0" applyFont="1" applyFill="1" applyBorder="1"/>
    <xf numFmtId="3" fontId="5" fillId="11" borderId="0" xfId="0" applyNumberFormat="1" applyFont="1" applyFill="1" applyBorder="1"/>
    <xf numFmtId="9" fontId="14" fillId="11" borderId="43" xfId="1" applyFont="1" applyFill="1" applyBorder="1" applyAlignment="1"/>
    <xf numFmtId="0" fontId="0" fillId="11" borderId="0" xfId="0" applyFont="1" applyFill="1" applyBorder="1" applyAlignment="1"/>
    <xf numFmtId="0" fontId="0" fillId="0" borderId="0" xfId="0" applyAlignment="1">
      <alignment horizontal="right"/>
    </xf>
    <xf numFmtId="1" fontId="13" fillId="0" borderId="25" xfId="0" applyNumberFormat="1" applyFont="1" applyFill="1" applyBorder="1" applyAlignment="1" applyProtection="1">
      <alignment horizontal="right"/>
      <protection locked="0"/>
    </xf>
    <xf numFmtId="1" fontId="13" fillId="0" borderId="47" xfId="0" applyNumberFormat="1" applyFont="1" applyFill="1" applyBorder="1" applyAlignment="1" applyProtection="1">
      <alignment horizontal="right"/>
      <protection locked="0"/>
    </xf>
    <xf numFmtId="1" fontId="13" fillId="0" borderId="48" xfId="0" applyNumberFormat="1" applyFont="1" applyFill="1" applyBorder="1" applyAlignment="1" applyProtection="1">
      <alignment horizontal="right"/>
      <protection locked="0"/>
    </xf>
    <xf numFmtId="0" fontId="14" fillId="0" borderId="40" xfId="0" applyFont="1" applyBorder="1" applyProtection="1">
      <protection locked="0"/>
    </xf>
    <xf numFmtId="0" fontId="14" fillId="0" borderId="41" xfId="0" applyFont="1" applyBorder="1" applyProtection="1">
      <protection locked="0"/>
    </xf>
    <xf numFmtId="9" fontId="5" fillId="9" borderId="0" xfId="1" applyFont="1" applyFill="1" applyBorder="1"/>
    <xf numFmtId="9" fontId="14" fillId="9" borderId="43" xfId="1" applyFont="1" applyFill="1" applyBorder="1" applyAlignment="1"/>
    <xf numFmtId="165" fontId="2" fillId="0" borderId="25" xfId="0" applyNumberFormat="1" applyFont="1" applyFill="1" applyBorder="1" applyAlignment="1" applyProtection="1">
      <alignment horizontal="right"/>
      <protection locked="0"/>
    </xf>
    <xf numFmtId="165" fontId="2" fillId="0" borderId="47" xfId="0" applyNumberFormat="1" applyFont="1" applyFill="1" applyBorder="1" applyAlignment="1" applyProtection="1">
      <alignment horizontal="right"/>
      <protection locked="0"/>
    </xf>
    <xf numFmtId="0" fontId="14" fillId="0" borderId="40" xfId="0" applyFont="1" applyBorder="1"/>
    <xf numFmtId="0" fontId="6" fillId="0" borderId="0" xfId="0" applyFont="1" applyBorder="1" applyAlignment="1">
      <alignment vertical="center" textRotation="90"/>
    </xf>
    <xf numFmtId="0" fontId="14" fillId="9" borderId="0" xfId="0" applyFont="1" applyFill="1" applyBorder="1"/>
    <xf numFmtId="9" fontId="21" fillId="0" borderId="0" xfId="1" applyFont="1" applyBorder="1"/>
    <xf numFmtId="9" fontId="14" fillId="0" borderId="0" xfId="0" applyNumberFormat="1" applyFont="1"/>
    <xf numFmtId="0" fontId="3" fillId="0" borderId="0" xfId="0" applyFont="1" applyFill="1" applyBorder="1"/>
    <xf numFmtId="0" fontId="0" fillId="0" borderId="40" xfId="0" applyFont="1" applyBorder="1"/>
    <xf numFmtId="0" fontId="0" fillId="0" borderId="41" xfId="0" applyFont="1" applyBorder="1"/>
    <xf numFmtId="0" fontId="4" fillId="0" borderId="0" xfId="0" applyFont="1" applyBorder="1"/>
    <xf numFmtId="0" fontId="2" fillId="0" borderId="43" xfId="0" applyFont="1" applyBorder="1" applyAlignment="1"/>
    <xf numFmtId="0" fontId="0" fillId="0" borderId="49" xfId="0" applyBorder="1" applyAlignment="1">
      <alignment wrapText="1"/>
    </xf>
    <xf numFmtId="0" fontId="14" fillId="0" borderId="50" xfId="0" applyFont="1" applyBorder="1" applyAlignment="1">
      <alignment wrapText="1"/>
    </xf>
    <xf numFmtId="0" fontId="0" fillId="0" borderId="51" xfId="0" applyBorder="1" applyAlignment="1">
      <alignment wrapText="1"/>
    </xf>
    <xf numFmtId="0" fontId="14" fillId="0" borderId="51" xfId="0" applyFont="1" applyBorder="1" applyAlignment="1">
      <alignment wrapText="1"/>
    </xf>
    <xf numFmtId="0" fontId="2" fillId="28" borderId="51" xfId="0" applyFont="1" applyFill="1" applyBorder="1" applyAlignment="1">
      <alignment horizontal="right" wrapText="1"/>
    </xf>
    <xf numFmtId="0" fontId="22" fillId="24" borderId="51" xfId="0" applyFont="1" applyFill="1" applyBorder="1" applyAlignment="1">
      <alignment horizontal="center" wrapText="1"/>
    </xf>
    <xf numFmtId="0" fontId="0" fillId="0" borderId="51" xfId="0" applyBorder="1" applyAlignment="1">
      <alignment horizontal="right" wrapText="1"/>
    </xf>
    <xf numFmtId="0" fontId="2" fillId="25" borderId="51" xfId="0" applyFont="1" applyFill="1" applyBorder="1" applyAlignment="1">
      <alignment horizontal="right" wrapText="1"/>
    </xf>
    <xf numFmtId="0" fontId="0" fillId="26" borderId="51" xfId="0" applyFill="1" applyBorder="1" applyAlignment="1">
      <alignment horizontal="right" wrapText="1"/>
    </xf>
    <xf numFmtId="0" fontId="2" fillId="27" borderId="51" xfId="0" applyFont="1" applyFill="1" applyBorder="1" applyAlignment="1">
      <alignment horizontal="right" wrapText="1"/>
    </xf>
    <xf numFmtId="0" fontId="3" fillId="29" borderId="6" xfId="0" applyFont="1" applyFill="1" applyBorder="1" applyAlignment="1">
      <alignment horizontal="right"/>
    </xf>
    <xf numFmtId="165" fontId="3" fillId="29" borderId="6" xfId="0" applyNumberFormat="1" applyFont="1" applyFill="1" applyBorder="1" applyAlignment="1">
      <alignment horizontal="right"/>
    </xf>
  </cellXfs>
  <cellStyles count="3">
    <cellStyle name="Normal" xfId="0" builtinId="0"/>
    <cellStyle name="Normal 2" xfId="2"/>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onstanza%20Nieto\Documents\Seduc\MODELO%20HNL%20y%20Asigna\2025\Distribuci&#243;n%20Horas\Recibido\Distribuci&#243;n%20de%20Horas%20CLA%202025%20(1)%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onstanza%20Nieto\Documents\Seduc\MODELO%20HNL%20y%20Asigna\2025\Distribuci&#243;n%20Horas\Recibido\Distribuci&#243;n%20de%20Horas%20Tabancura%202025%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onstanza%20Nieto\Documents\Seduc\MODELO%20HNL%20y%20Asigna\2025\Distribuci&#243;n%20Horas\Recibido\Distribuci&#243;n%20de%20Horas%20Huel&#233;n%202025%20REAL%20(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Constanza%20Nieto\Documents\Seduc\MODELO%20HNL%20y%20Asigna\2025\Distribuci&#243;n%20Horas\Recibido\Distribuci&#243;n%20de%20Horas%20Cordillera%202025%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onstanza%20Nieto\Documents\Seduc\MODELO%20HNL%20y%20Asigna\2025\Distribuci&#243;n%20Horas\Recibido\Distribuci&#243;n%20de%20Horas%20Los%20Alerces%202025(c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onstanza%20Nieto\Documents\Seduc\MODELO%20HNL%20y%20Asigna\2025\Distribuci&#243;n%20Horas\Recibido\Distribuci&#243;n%20de%20Horas%20Huinganal%202025%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ón de Horas"/>
      <sheetName val="Hoja1"/>
      <sheetName val="Electivos"/>
      <sheetName val="Ejemplo"/>
      <sheetName val="Definiciones"/>
      <sheetName val="Modelo"/>
      <sheetName val="Hoja 1"/>
      <sheetName val="Hoja2"/>
    </sheetNames>
    <sheetDataSet>
      <sheetData sheetId="0"/>
      <sheetData sheetId="1"/>
      <sheetData sheetId="2"/>
      <sheetData sheetId="3"/>
      <sheetData sheetId="4"/>
      <sheetData sheetId="5"/>
      <sheetData sheetId="6">
        <row r="11">
          <cell r="C11" t="str">
            <v>ART</v>
          </cell>
          <cell r="D11">
            <v>0.5</v>
          </cell>
        </row>
        <row r="12">
          <cell r="C12" t="str">
            <v>BIO</v>
          </cell>
          <cell r="D12">
            <v>0.5</v>
          </cell>
        </row>
        <row r="13">
          <cell r="C13" t="str">
            <v>CAS</v>
          </cell>
          <cell r="D13">
            <v>0.6</v>
          </cell>
        </row>
        <row r="14">
          <cell r="C14" t="str">
            <v>EFI</v>
          </cell>
          <cell r="D14">
            <v>0.5</v>
          </cell>
        </row>
        <row r="15">
          <cell r="C15" t="str">
            <v>EGB</v>
          </cell>
          <cell r="D15">
            <v>0.5</v>
          </cell>
        </row>
        <row r="16">
          <cell r="C16" t="str">
            <v>EGB - ING</v>
          </cell>
          <cell r="D16">
            <v>0.5</v>
          </cell>
        </row>
        <row r="17">
          <cell r="C17" t="str">
            <v>FIL</v>
          </cell>
          <cell r="D17">
            <v>0.5</v>
          </cell>
        </row>
        <row r="18">
          <cell r="C18" t="str">
            <v>FIS</v>
          </cell>
          <cell r="D18">
            <v>0.5</v>
          </cell>
        </row>
        <row r="19">
          <cell r="C19" t="str">
            <v>HIS</v>
          </cell>
          <cell r="D19">
            <v>0.5</v>
          </cell>
        </row>
        <row r="20">
          <cell r="C20" t="str">
            <v>ING</v>
          </cell>
          <cell r="D20">
            <v>0.5</v>
          </cell>
        </row>
        <row r="21">
          <cell r="C21" t="str">
            <v>MAT</v>
          </cell>
          <cell r="D21">
            <v>0.5</v>
          </cell>
        </row>
        <row r="22">
          <cell r="C22" t="str">
            <v>MUS</v>
          </cell>
          <cell r="D22">
            <v>0.5</v>
          </cell>
        </row>
        <row r="23">
          <cell r="C23" t="str">
            <v>NAT</v>
          </cell>
          <cell r="D23">
            <v>0.5</v>
          </cell>
        </row>
        <row r="24">
          <cell r="C24" t="str">
            <v>PRE</v>
          </cell>
          <cell r="D24">
            <v>0.5</v>
          </cell>
        </row>
        <row r="25">
          <cell r="C25" t="str">
            <v>QUI</v>
          </cell>
          <cell r="D25">
            <v>0.5</v>
          </cell>
        </row>
        <row r="26">
          <cell r="C26" t="str">
            <v>REL</v>
          </cell>
          <cell r="D26">
            <v>0.5</v>
          </cell>
        </row>
        <row r="27">
          <cell r="C27" t="str">
            <v>TEC</v>
          </cell>
          <cell r="D27">
            <v>0.5</v>
          </cell>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ón de Horas"/>
      <sheetName val="Hoja3"/>
      <sheetName val="Ejemplo"/>
      <sheetName val="Definiciones"/>
      <sheetName val="Modelo"/>
      <sheetName val="Hoja1"/>
      <sheetName val="Hoja2"/>
    </sheetNames>
    <sheetDataSet>
      <sheetData sheetId="0" refreshError="1"/>
      <sheetData sheetId="1"/>
      <sheetData sheetId="2" refreshError="1"/>
      <sheetData sheetId="3" refreshError="1"/>
      <sheetData sheetId="4" refreshError="1"/>
      <sheetData sheetId="5">
        <row r="11">
          <cell r="C11" t="str">
            <v>ART</v>
          </cell>
          <cell r="D11">
            <v>0.3</v>
          </cell>
        </row>
        <row r="12">
          <cell r="C12" t="str">
            <v>BIO</v>
          </cell>
          <cell r="D12">
            <v>0.5</v>
          </cell>
        </row>
        <row r="13">
          <cell r="C13" t="str">
            <v>CAS</v>
          </cell>
          <cell r="D13">
            <v>0.6</v>
          </cell>
        </row>
        <row r="14">
          <cell r="C14" t="str">
            <v>EFI</v>
          </cell>
          <cell r="D14">
            <v>0.3</v>
          </cell>
        </row>
        <row r="15">
          <cell r="C15" t="str">
            <v>EGB</v>
          </cell>
          <cell r="D15">
            <v>0.5</v>
          </cell>
        </row>
        <row r="16">
          <cell r="C16" t="str">
            <v>EGB - ING</v>
          </cell>
          <cell r="D16">
            <v>0.5</v>
          </cell>
        </row>
        <row r="17">
          <cell r="C17" t="str">
            <v>FIL</v>
          </cell>
          <cell r="D17">
            <v>0.5</v>
          </cell>
        </row>
        <row r="18">
          <cell r="C18" t="str">
            <v>FIS</v>
          </cell>
          <cell r="D18">
            <v>0.5</v>
          </cell>
        </row>
        <row r="19">
          <cell r="C19" t="str">
            <v>HIS</v>
          </cell>
          <cell r="D19">
            <v>0.5</v>
          </cell>
        </row>
        <row r="20">
          <cell r="C20" t="str">
            <v>ING</v>
          </cell>
          <cell r="D20">
            <v>0.5</v>
          </cell>
        </row>
        <row r="21">
          <cell r="C21" t="str">
            <v>MAT</v>
          </cell>
          <cell r="D21">
            <v>0.5</v>
          </cell>
        </row>
        <row r="22">
          <cell r="C22" t="str">
            <v>MUS</v>
          </cell>
          <cell r="D22">
            <v>0.3</v>
          </cell>
        </row>
        <row r="23">
          <cell r="C23" t="str">
            <v>NAT</v>
          </cell>
          <cell r="D23">
            <v>0.5</v>
          </cell>
        </row>
        <row r="24">
          <cell r="C24" t="str">
            <v>PRE</v>
          </cell>
          <cell r="D24">
            <v>0.5</v>
          </cell>
        </row>
        <row r="25">
          <cell r="C25" t="str">
            <v>QUI</v>
          </cell>
          <cell r="D25">
            <v>0.5</v>
          </cell>
        </row>
        <row r="26">
          <cell r="C26" t="str">
            <v>REL</v>
          </cell>
          <cell r="D26">
            <v>0.5</v>
          </cell>
        </row>
        <row r="27">
          <cell r="C27" t="str">
            <v>TEC</v>
          </cell>
          <cell r="D27">
            <v>0.5</v>
          </cell>
        </row>
      </sheetData>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ón de Horas"/>
      <sheetName val="Hoja3"/>
      <sheetName val="Ejemplo"/>
      <sheetName val="Definiciones"/>
      <sheetName val="Modelo"/>
      <sheetName val="Hoja1"/>
      <sheetName val="Hoja2"/>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ón de Horas"/>
      <sheetName val="Hoja3"/>
      <sheetName val="Definiciones"/>
      <sheetName val="Ejemplo"/>
      <sheetName val="Modelo"/>
      <sheetName val="Hoja1"/>
      <sheetName val="Hoja2"/>
    </sheetNames>
    <sheetDataSet>
      <sheetData sheetId="0"/>
      <sheetData sheetId="1"/>
      <sheetData sheetId="2"/>
      <sheetData sheetId="3"/>
      <sheetData sheetId="4"/>
      <sheetData sheetId="5">
        <row r="11">
          <cell r="C11" t="str">
            <v>ART</v>
          </cell>
          <cell r="D11">
            <v>0.3</v>
          </cell>
        </row>
        <row r="12">
          <cell r="C12" t="str">
            <v>BIO</v>
          </cell>
          <cell r="D12">
            <v>0.5</v>
          </cell>
        </row>
        <row r="13">
          <cell r="C13" t="str">
            <v>CAS</v>
          </cell>
          <cell r="D13">
            <v>0.6</v>
          </cell>
        </row>
        <row r="14">
          <cell r="C14" t="str">
            <v>EFI</v>
          </cell>
          <cell r="D14">
            <v>0.3</v>
          </cell>
        </row>
        <row r="15">
          <cell r="C15" t="str">
            <v>EGB</v>
          </cell>
          <cell r="D15">
            <v>0.5</v>
          </cell>
        </row>
        <row r="16">
          <cell r="C16" t="str">
            <v>EGB - ING</v>
          </cell>
          <cell r="D16">
            <v>0.5</v>
          </cell>
        </row>
        <row r="17">
          <cell r="C17" t="str">
            <v>FIL</v>
          </cell>
          <cell r="D17">
            <v>0.5</v>
          </cell>
        </row>
        <row r="18">
          <cell r="C18" t="str">
            <v>FIS</v>
          </cell>
          <cell r="D18">
            <v>0.5</v>
          </cell>
        </row>
        <row r="19">
          <cell r="C19" t="str">
            <v>HIS</v>
          </cell>
          <cell r="D19">
            <v>0.5</v>
          </cell>
        </row>
        <row r="20">
          <cell r="C20" t="str">
            <v>ING</v>
          </cell>
          <cell r="D20">
            <v>0.5</v>
          </cell>
        </row>
        <row r="21">
          <cell r="C21" t="str">
            <v>MAT</v>
          </cell>
          <cell r="D21">
            <v>0.5</v>
          </cell>
        </row>
        <row r="22">
          <cell r="C22" t="str">
            <v>MUS</v>
          </cell>
          <cell r="D22">
            <v>0.3</v>
          </cell>
        </row>
        <row r="23">
          <cell r="C23" t="str">
            <v>NAT</v>
          </cell>
          <cell r="D23">
            <v>0.5</v>
          </cell>
        </row>
        <row r="24">
          <cell r="C24" t="str">
            <v>PRE</v>
          </cell>
          <cell r="D24">
            <v>0.5</v>
          </cell>
        </row>
        <row r="25">
          <cell r="C25" t="str">
            <v>QUI</v>
          </cell>
          <cell r="D25">
            <v>0.5</v>
          </cell>
        </row>
        <row r="26">
          <cell r="C26" t="str">
            <v>REL</v>
          </cell>
          <cell r="D26">
            <v>0.5</v>
          </cell>
        </row>
        <row r="27">
          <cell r="C27" t="str">
            <v>TEC</v>
          </cell>
          <cell r="D27">
            <v>0.5</v>
          </cell>
        </row>
      </sheetData>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ón de Horas"/>
      <sheetName val="Hoja3"/>
      <sheetName val="Ejemplo"/>
      <sheetName val="Definiciones"/>
      <sheetName val="Modelo"/>
      <sheetName val="Hoja1"/>
      <sheetName val="Hoja2"/>
    </sheetNames>
    <sheetDataSet>
      <sheetData sheetId="0"/>
      <sheetData sheetId="1">
        <row r="2">
          <cell r="A2" t="str">
            <v>19694594-6</v>
          </cell>
        </row>
      </sheetData>
      <sheetData sheetId="2"/>
      <sheetData sheetId="3"/>
      <sheetData sheetId="4"/>
      <sheetData sheetId="5">
        <row r="11">
          <cell r="C11" t="str">
            <v>ART</v>
          </cell>
          <cell r="D11">
            <v>0.3</v>
          </cell>
        </row>
        <row r="12">
          <cell r="C12" t="str">
            <v>BIO</v>
          </cell>
          <cell r="D12">
            <v>0.5</v>
          </cell>
        </row>
        <row r="13">
          <cell r="C13" t="str">
            <v>CAS</v>
          </cell>
          <cell r="D13">
            <v>0.6</v>
          </cell>
        </row>
        <row r="14">
          <cell r="C14" t="str">
            <v>EFI</v>
          </cell>
          <cell r="D14">
            <v>0.3</v>
          </cell>
        </row>
        <row r="15">
          <cell r="C15" t="str">
            <v>EGB</v>
          </cell>
          <cell r="D15">
            <v>0.5</v>
          </cell>
        </row>
        <row r="16">
          <cell r="C16" t="str">
            <v>EGB - ING</v>
          </cell>
          <cell r="D16">
            <v>0.5</v>
          </cell>
        </row>
        <row r="17">
          <cell r="C17" t="str">
            <v>FIL</v>
          </cell>
          <cell r="D17">
            <v>0.5</v>
          </cell>
        </row>
        <row r="18">
          <cell r="C18" t="str">
            <v>FIS</v>
          </cell>
          <cell r="D18">
            <v>0.5</v>
          </cell>
        </row>
        <row r="19">
          <cell r="C19" t="str">
            <v>HIS</v>
          </cell>
          <cell r="D19">
            <v>0.5</v>
          </cell>
        </row>
        <row r="20">
          <cell r="C20" t="str">
            <v>ING</v>
          </cell>
          <cell r="D20">
            <v>0.5</v>
          </cell>
        </row>
        <row r="21">
          <cell r="C21" t="str">
            <v>MAT</v>
          </cell>
          <cell r="D21">
            <v>0.5</v>
          </cell>
        </row>
        <row r="22">
          <cell r="C22" t="str">
            <v>MUS</v>
          </cell>
          <cell r="D22">
            <v>0.3</v>
          </cell>
        </row>
        <row r="23">
          <cell r="C23" t="str">
            <v>NAT</v>
          </cell>
          <cell r="D23">
            <v>0.5</v>
          </cell>
        </row>
        <row r="24">
          <cell r="C24" t="str">
            <v>PRE</v>
          </cell>
          <cell r="D24">
            <v>0.5</v>
          </cell>
        </row>
        <row r="25">
          <cell r="C25" t="str">
            <v>QUI</v>
          </cell>
          <cell r="D25">
            <v>0.5</v>
          </cell>
        </row>
        <row r="26">
          <cell r="C26" t="str">
            <v>REL</v>
          </cell>
          <cell r="D26">
            <v>0.5</v>
          </cell>
        </row>
        <row r="27">
          <cell r="C27" t="str">
            <v>TEC</v>
          </cell>
          <cell r="D27">
            <v>0.5</v>
          </cell>
        </row>
      </sheetData>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ón de Horas"/>
      <sheetName val="Hoja3"/>
      <sheetName val="Ejemplo"/>
      <sheetName val="Definiciones"/>
      <sheetName val="Modelo"/>
      <sheetName val="Hoja1"/>
      <sheetName val="Hoja2"/>
    </sheetNames>
    <sheetDataSet>
      <sheetData sheetId="0" refreshError="1"/>
      <sheetData sheetId="1" refreshError="1"/>
      <sheetData sheetId="2" refreshError="1"/>
      <sheetData sheetId="3" refreshError="1"/>
      <sheetData sheetId="4" refreshError="1"/>
      <sheetData sheetId="5">
        <row r="11">
          <cell r="C11" t="str">
            <v>ART</v>
          </cell>
          <cell r="D11">
            <v>0.3</v>
          </cell>
        </row>
        <row r="12">
          <cell r="C12" t="str">
            <v>BIO</v>
          </cell>
          <cell r="D12">
            <v>0.5</v>
          </cell>
        </row>
        <row r="13">
          <cell r="C13" t="str">
            <v>CAS</v>
          </cell>
          <cell r="D13">
            <v>0.6</v>
          </cell>
        </row>
        <row r="14">
          <cell r="C14" t="str">
            <v>EFI</v>
          </cell>
          <cell r="D14">
            <v>0.3</v>
          </cell>
        </row>
        <row r="15">
          <cell r="C15" t="str">
            <v>EGB</v>
          </cell>
          <cell r="D15">
            <v>0.5</v>
          </cell>
        </row>
        <row r="16">
          <cell r="C16" t="str">
            <v>EGB - ING</v>
          </cell>
          <cell r="D16">
            <v>0.5</v>
          </cell>
        </row>
        <row r="17">
          <cell r="C17" t="str">
            <v>FIL</v>
          </cell>
          <cell r="D17">
            <v>0.5</v>
          </cell>
        </row>
        <row r="18">
          <cell r="C18" t="str">
            <v>FIS</v>
          </cell>
          <cell r="D18">
            <v>0.5</v>
          </cell>
        </row>
        <row r="19">
          <cell r="C19" t="str">
            <v>HIS</v>
          </cell>
          <cell r="D19">
            <v>0.5</v>
          </cell>
        </row>
        <row r="20">
          <cell r="C20" t="str">
            <v>ING</v>
          </cell>
          <cell r="D20">
            <v>0.5</v>
          </cell>
        </row>
        <row r="21">
          <cell r="C21" t="str">
            <v>MAT</v>
          </cell>
          <cell r="D21">
            <v>0.5</v>
          </cell>
        </row>
        <row r="22">
          <cell r="C22" t="str">
            <v>MUS</v>
          </cell>
          <cell r="D22">
            <v>0.3</v>
          </cell>
        </row>
        <row r="23">
          <cell r="C23" t="str">
            <v>NAT</v>
          </cell>
          <cell r="D23">
            <v>0.5</v>
          </cell>
        </row>
        <row r="24">
          <cell r="C24" t="str">
            <v>PRE</v>
          </cell>
          <cell r="D24">
            <v>0.5</v>
          </cell>
        </row>
        <row r="25">
          <cell r="C25" t="str">
            <v>QUI</v>
          </cell>
          <cell r="D25">
            <v>0.5</v>
          </cell>
        </row>
        <row r="26">
          <cell r="C26" t="str">
            <v>REL</v>
          </cell>
          <cell r="D26">
            <v>0.5</v>
          </cell>
        </row>
        <row r="27">
          <cell r="C27" t="str">
            <v>TEC</v>
          </cell>
          <cell r="D27">
            <v>0.5</v>
          </cell>
        </row>
      </sheetData>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03"/>
  <sheetViews>
    <sheetView tabSelected="1" zoomScale="80" zoomScaleNormal="80" workbookViewId="0">
      <pane xSplit="3" ySplit="3" topLeftCell="U4" activePane="bottomRight" state="frozen"/>
      <selection pane="topRight" activeCell="D1" sqref="D1"/>
      <selection pane="bottomLeft" activeCell="A4" sqref="A4"/>
      <selection pane="bottomRight" activeCell="C103" sqref="C103"/>
    </sheetView>
  </sheetViews>
  <sheetFormatPr baseColWidth="10" defaultColWidth="8.85546875" defaultRowHeight="15" x14ac:dyDescent="0.25"/>
  <cols>
    <col min="2" max="2" width="33.140625" customWidth="1"/>
    <col min="3" max="3" width="8.42578125" bestFit="1" customWidth="1"/>
    <col min="4" max="4" width="4" bestFit="1" customWidth="1"/>
    <col min="5" max="5" width="3.7109375" bestFit="1" customWidth="1"/>
    <col min="6" max="9" width="3.5703125" bestFit="1" customWidth="1"/>
    <col min="10" max="10" width="8.28515625" customWidth="1"/>
    <col min="11" max="11" width="3.5703125" bestFit="1" customWidth="1"/>
    <col min="12" max="12" width="7.28515625" customWidth="1"/>
    <col min="13" max="13" width="6" bestFit="1" customWidth="1"/>
    <col min="14" max="17" width="3.5703125" bestFit="1" customWidth="1"/>
    <col min="18" max="18" width="3.5703125" customWidth="1"/>
    <col min="19" max="19" width="5.5703125" customWidth="1"/>
    <col min="20" max="20" width="4.42578125" bestFit="1" customWidth="1"/>
    <col min="21" max="22" width="3.5703125" bestFit="1" customWidth="1"/>
    <col min="23" max="23" width="4.42578125" bestFit="1" customWidth="1"/>
    <col min="24" max="25" width="6.28515625" bestFit="1" customWidth="1"/>
    <col min="26" max="29" width="3.5703125" bestFit="1" customWidth="1"/>
    <col min="30" max="30" width="4.42578125" bestFit="1" customWidth="1"/>
    <col min="31" max="32" width="4" bestFit="1" customWidth="1"/>
    <col min="33" max="33" width="14.5703125" customWidth="1"/>
    <col min="34" max="34" width="5.7109375" customWidth="1"/>
    <col min="35" max="35" width="6" bestFit="1" customWidth="1"/>
    <col min="36" max="38" width="3.5703125" bestFit="1" customWidth="1"/>
    <col min="39" max="39" width="21" bestFit="1" customWidth="1"/>
    <col min="40" max="40" width="6" bestFit="1" customWidth="1"/>
    <col min="41" max="41" width="5.42578125" bestFit="1" customWidth="1"/>
    <col min="42" max="42" width="17.140625" customWidth="1"/>
    <col min="43" max="43" width="4.5703125" bestFit="1" customWidth="1"/>
    <col min="44" max="44" width="5.5703125" bestFit="1" customWidth="1"/>
    <col min="45" max="45" width="3.5703125" bestFit="1" customWidth="1"/>
    <col min="46" max="46" width="5.85546875" customWidth="1"/>
    <col min="47" max="47" width="6.140625" customWidth="1"/>
    <col min="48" max="50" width="5.85546875" customWidth="1"/>
    <col min="51" max="51" width="6" style="335" bestFit="1" customWidth="1"/>
    <col min="52" max="52" width="6" bestFit="1" customWidth="1"/>
    <col min="53" max="53" width="11.140625" bestFit="1" customWidth="1"/>
    <col min="54" max="54" width="9.140625" bestFit="1" customWidth="1"/>
  </cols>
  <sheetData>
    <row r="1" spans="1:54" ht="21.75" thickBot="1" x14ac:dyDescent="0.4">
      <c r="A1" s="53" t="s">
        <v>286</v>
      </c>
      <c r="B1" s="1"/>
      <c r="C1" s="1"/>
      <c r="D1" s="1"/>
      <c r="E1" s="1"/>
      <c r="F1" s="1"/>
      <c r="G1" s="1"/>
      <c r="H1" s="2"/>
      <c r="I1" s="2"/>
      <c r="J1" s="2"/>
      <c r="K1" s="2"/>
      <c r="L1" s="54"/>
      <c r="M1" s="1"/>
      <c r="N1" s="1"/>
      <c r="O1" s="1"/>
      <c r="P1" s="1"/>
      <c r="Q1" s="55"/>
      <c r="R1" s="56"/>
      <c r="S1" s="4"/>
      <c r="T1" s="1"/>
      <c r="U1" s="3"/>
      <c r="V1" s="1"/>
      <c r="W1" s="57"/>
      <c r="X1" s="1"/>
      <c r="Y1" s="1"/>
      <c r="Z1" s="1"/>
      <c r="AA1" s="1"/>
      <c r="AB1" s="1"/>
      <c r="AC1" s="1"/>
      <c r="AD1" s="1"/>
      <c r="AE1" s="1"/>
      <c r="AF1" s="1"/>
      <c r="AG1" s="1"/>
      <c r="AH1" s="3"/>
      <c r="AI1" s="1"/>
      <c r="AJ1" s="1"/>
      <c r="AK1" s="1"/>
      <c r="AL1" s="1"/>
      <c r="AM1" s="58"/>
      <c r="AN1" s="3"/>
      <c r="AO1" s="1"/>
      <c r="AP1" s="1"/>
      <c r="AQ1" s="57"/>
      <c r="AR1" s="5"/>
      <c r="AS1" s="1"/>
      <c r="AT1" s="6"/>
      <c r="AU1" s="7"/>
      <c r="AV1" s="1"/>
      <c r="AW1" s="1"/>
      <c r="AX1" s="8"/>
      <c r="AY1" s="1"/>
      <c r="AZ1" s="9"/>
    </row>
    <row r="2" spans="1:54" ht="21.75" thickBot="1" x14ac:dyDescent="0.4">
      <c r="A2" s="53"/>
      <c r="B2" s="1"/>
      <c r="C2" s="1"/>
      <c r="D2" s="1"/>
      <c r="E2" s="1"/>
      <c r="F2" s="1"/>
      <c r="G2" s="1"/>
      <c r="H2" s="2"/>
      <c r="I2" s="2"/>
      <c r="J2" s="2"/>
      <c r="K2" s="2"/>
      <c r="L2" s="54"/>
      <c r="M2" s="1"/>
      <c r="N2" s="1"/>
      <c r="O2" s="1"/>
      <c r="P2" s="1"/>
      <c r="Q2" s="55"/>
      <c r="R2" s="56"/>
      <c r="S2" s="4"/>
      <c r="T2" s="1"/>
      <c r="U2" s="3"/>
      <c r="V2" s="1"/>
      <c r="W2" s="57"/>
      <c r="X2" s="1"/>
      <c r="Y2" s="1"/>
      <c r="Z2" s="1"/>
      <c r="AA2" s="1"/>
      <c r="AB2" s="1"/>
      <c r="AC2" s="1"/>
      <c r="AD2" s="1"/>
      <c r="AE2" s="1"/>
      <c r="AF2" s="1"/>
      <c r="AG2" s="1"/>
      <c r="AH2" s="3"/>
      <c r="AI2" s="1"/>
      <c r="AJ2" s="1"/>
      <c r="AK2" s="1"/>
      <c r="AL2" s="1"/>
      <c r="AM2" s="58"/>
      <c r="AN2" s="3"/>
      <c r="AO2" s="1"/>
      <c r="AP2" s="1"/>
      <c r="AQ2" s="57"/>
      <c r="AR2" s="5"/>
      <c r="AS2" s="1"/>
      <c r="AT2" s="345" t="s">
        <v>1187</v>
      </c>
      <c r="AU2" s="371"/>
      <c r="AV2" s="372"/>
      <c r="AW2" s="372"/>
      <c r="AX2" s="372"/>
      <c r="AY2" s="347"/>
      <c r="AZ2" s="373"/>
      <c r="BA2" s="336"/>
      <c r="BB2" s="336"/>
    </row>
    <row r="3" spans="1:54" ht="157.9" customHeight="1" thickBot="1" x14ac:dyDescent="0.3">
      <c r="A3" s="3" t="s">
        <v>1</v>
      </c>
      <c r="B3" s="3" t="s">
        <v>2</v>
      </c>
      <c r="C3" s="10" t="s">
        <v>3</v>
      </c>
      <c r="D3" s="11" t="s">
        <v>4</v>
      </c>
      <c r="E3" s="11" t="s">
        <v>5</v>
      </c>
      <c r="F3" s="11" t="s">
        <v>6</v>
      </c>
      <c r="G3" s="11" t="s">
        <v>7</v>
      </c>
      <c r="H3" s="11" t="s">
        <v>8</v>
      </c>
      <c r="I3" s="11" t="s">
        <v>9</v>
      </c>
      <c r="J3" s="11" t="s">
        <v>10</v>
      </c>
      <c r="K3" s="12" t="s">
        <v>11</v>
      </c>
      <c r="L3" s="253" t="s">
        <v>0</v>
      </c>
      <c r="M3" s="10" t="s">
        <v>1082</v>
      </c>
      <c r="N3" s="13" t="s">
        <v>1083</v>
      </c>
      <c r="O3" s="13" t="s">
        <v>1084</v>
      </c>
      <c r="P3" s="13" t="s">
        <v>1085</v>
      </c>
      <c r="Q3" s="11" t="s">
        <v>1086</v>
      </c>
      <c r="R3" s="14" t="s">
        <v>12</v>
      </c>
      <c r="S3" s="15" t="s">
        <v>13</v>
      </c>
      <c r="T3" s="240" t="s">
        <v>14</v>
      </c>
      <c r="U3" s="241" t="s">
        <v>15</v>
      </c>
      <c r="V3" s="242" t="s">
        <v>16</v>
      </c>
      <c r="W3" s="243" t="s">
        <v>17</v>
      </c>
      <c r="X3" s="242" t="s">
        <v>18</v>
      </c>
      <c r="Y3" s="242" t="s">
        <v>19</v>
      </c>
      <c r="Z3" s="241" t="s">
        <v>20</v>
      </c>
      <c r="AA3" s="241" t="s">
        <v>21</v>
      </c>
      <c r="AB3" s="244" t="s">
        <v>22</v>
      </c>
      <c r="AC3" s="245" t="s">
        <v>23</v>
      </c>
      <c r="AD3" s="241" t="s">
        <v>24</v>
      </c>
      <c r="AE3" s="242" t="s">
        <v>25</v>
      </c>
      <c r="AF3" s="241" t="s">
        <v>26</v>
      </c>
      <c r="AG3" s="242" t="s">
        <v>27</v>
      </c>
      <c r="AH3" s="246" t="s">
        <v>28</v>
      </c>
      <c r="AI3" s="240" t="s">
        <v>29</v>
      </c>
      <c r="AJ3" s="241" t="s">
        <v>30</v>
      </c>
      <c r="AK3" s="247" t="s">
        <v>31</v>
      </c>
      <c r="AL3" s="241" t="s">
        <v>32</v>
      </c>
      <c r="AM3" s="242" t="s">
        <v>33</v>
      </c>
      <c r="AN3" s="248" t="s">
        <v>34</v>
      </c>
      <c r="AO3" s="249" t="s">
        <v>35</v>
      </c>
      <c r="AP3" s="250" t="s">
        <v>36</v>
      </c>
      <c r="AQ3" s="251" t="s">
        <v>37</v>
      </c>
      <c r="AR3" s="252" t="s">
        <v>38</v>
      </c>
      <c r="AS3" s="342" t="s">
        <v>39</v>
      </c>
      <c r="AT3" s="349" t="s">
        <v>40</v>
      </c>
      <c r="AU3" s="374" t="s">
        <v>41</v>
      </c>
      <c r="AV3" s="351" t="s">
        <v>1193</v>
      </c>
      <c r="AW3" s="351" t="s">
        <v>1194</v>
      </c>
      <c r="AX3" s="352" t="s">
        <v>1195</v>
      </c>
      <c r="AY3" s="353" t="s">
        <v>1087</v>
      </c>
      <c r="AZ3" s="375" t="s">
        <v>1088</v>
      </c>
      <c r="BA3" s="16" t="s">
        <v>1191</v>
      </c>
      <c r="BB3" s="16" t="s">
        <v>1192</v>
      </c>
    </row>
    <row r="4" spans="1:54" ht="15.75" thickBot="1" x14ac:dyDescent="0.3">
      <c r="A4" s="17" t="s">
        <v>45</v>
      </c>
      <c r="B4" s="17" t="s">
        <v>46</v>
      </c>
      <c r="C4" s="18" t="s">
        <v>47</v>
      </c>
      <c r="D4" s="18"/>
      <c r="E4" s="18"/>
      <c r="F4" s="18"/>
      <c r="G4" s="19"/>
      <c r="H4" s="19"/>
      <c r="I4" s="19"/>
      <c r="J4" s="20"/>
      <c r="K4" s="19"/>
      <c r="L4" s="21">
        <v>23.75</v>
      </c>
      <c r="M4" s="22">
        <v>7</v>
      </c>
      <c r="N4" s="22"/>
      <c r="O4" s="22"/>
      <c r="P4" s="22"/>
      <c r="Q4" s="22"/>
      <c r="R4" s="23" t="str">
        <f t="shared" ref="R4:R51" si="0">IF(G4="x",1,"")</f>
        <v/>
      </c>
      <c r="S4" s="24">
        <f t="shared" ref="S4:S100" si="1">SUM(M4:R4)</f>
        <v>7</v>
      </c>
      <c r="T4" s="25">
        <f>IF($C4="",0,VLOOKUP($C4,'[1]Hoja 1'!$C$11:$D$27,2,FALSE)*M4)+IF($D4="",0,VLOOKUP($D4,'[1]Hoja 1'!$C$11:$D$27,2,FALSE)*N4)+IF($F4="",0,VLOOKUP($F4,'[1]Hoja 1'!$C$11:$D$27,2,FALSE)*P4)+IF(R4="",0,R4*0.5)</f>
        <v>3.5</v>
      </c>
      <c r="U4" s="22" t="str">
        <f>IF(G4="x",4,"")</f>
        <v/>
      </c>
      <c r="V4" s="22" t="str">
        <f>IF(G4="x",4,"")</f>
        <v/>
      </c>
      <c r="W4" s="26">
        <v>2.25</v>
      </c>
      <c r="X4" s="22"/>
      <c r="Y4" s="22"/>
      <c r="Z4" s="22"/>
      <c r="AA4" s="22"/>
      <c r="AB4" s="22">
        <v>3</v>
      </c>
      <c r="AC4" s="22">
        <v>1</v>
      </c>
      <c r="AD4" s="22"/>
      <c r="AE4" s="22"/>
      <c r="AF4" s="22">
        <v>5</v>
      </c>
      <c r="AG4" s="27" t="s">
        <v>48</v>
      </c>
      <c r="AH4" s="28">
        <f t="shared" ref="AH4:AH5" si="2">SUM(T4:AF4)</f>
        <v>14.75</v>
      </c>
      <c r="AI4" s="22"/>
      <c r="AJ4" s="22"/>
      <c r="AK4" s="22"/>
      <c r="AL4" s="22">
        <v>2</v>
      </c>
      <c r="AM4" s="29" t="s">
        <v>49</v>
      </c>
      <c r="AN4" s="30">
        <f t="shared" ref="AN4:AN7" si="3">SUM(AI4:AL4)</f>
        <v>2</v>
      </c>
      <c r="AO4" s="31"/>
      <c r="AP4" s="32"/>
      <c r="AQ4" s="33">
        <f t="shared" ref="AQ4:AQ100" si="4">SUM(AO4)</f>
        <v>0</v>
      </c>
      <c r="AR4" s="34">
        <f t="shared" ref="AR4:AR35" si="5">+S4+AH4+AN4+AQ4</f>
        <v>23.75</v>
      </c>
      <c r="AS4" s="369">
        <f t="shared" ref="AS4:AS35" si="6">+L4-AR4</f>
        <v>0</v>
      </c>
      <c r="AT4" s="355">
        <v>18.166666666666668</v>
      </c>
      <c r="AU4" s="356">
        <f t="shared" ref="AU4:AU35" si="7">+(S4+AB4)*40/60</f>
        <v>6.666666666666667</v>
      </c>
      <c r="AV4" s="357">
        <f t="shared" ref="AV4:AV35" si="8">+AN4*40/60</f>
        <v>1.3333333333333333</v>
      </c>
      <c r="AW4" s="358">
        <f t="shared" ref="AW4:AW35" si="9">+AQ4*0.666666666666667</f>
        <v>0</v>
      </c>
      <c r="AX4" s="356">
        <f>+AT4-AU4-AV4-AW4</f>
        <v>10.166666666666666</v>
      </c>
      <c r="AY4" s="359">
        <f>+AU4/(AU4+AX4)</f>
        <v>0.39603960396039606</v>
      </c>
      <c r="AZ4" s="360">
        <f t="shared" ref="AZ4" si="10">+AX4/(AU4+AX4)</f>
        <v>0.60396039603960394</v>
      </c>
      <c r="BA4" s="287">
        <v>1061816</v>
      </c>
      <c r="BB4" s="287">
        <f>+BA4/L4</f>
        <v>44708.042105263157</v>
      </c>
    </row>
    <row r="5" spans="1:54" ht="15.75" thickBot="1" x14ac:dyDescent="0.3">
      <c r="A5" s="17" t="s">
        <v>50</v>
      </c>
      <c r="B5" s="17" t="s">
        <v>51</v>
      </c>
      <c r="C5" s="18" t="s">
        <v>47</v>
      </c>
      <c r="D5" s="18"/>
      <c r="E5" s="18"/>
      <c r="F5" s="18"/>
      <c r="G5" s="19"/>
      <c r="H5" s="19"/>
      <c r="I5" s="20"/>
      <c r="J5" s="20"/>
      <c r="K5" s="19"/>
      <c r="L5" s="21">
        <v>14.25</v>
      </c>
      <c r="M5" s="22">
        <v>8</v>
      </c>
      <c r="N5" s="22"/>
      <c r="O5" s="22"/>
      <c r="P5" s="22"/>
      <c r="Q5" s="22"/>
      <c r="R5" s="23" t="str">
        <f t="shared" si="0"/>
        <v/>
      </c>
      <c r="S5" s="24">
        <f t="shared" si="1"/>
        <v>8</v>
      </c>
      <c r="T5" s="25">
        <f>IF($C5="",0,VLOOKUP($C5,'[1]Hoja 1'!$C$11:$D$27,2,FALSE)*M5)+IF($D5="",0,VLOOKUP($D5,'[1]Hoja 1'!$C$11:$D$27,2,FALSE)*N5)+IF($F5="",0,VLOOKUP($F5,'[1]Hoja 1'!$C$11:$D$27,2,FALSE)*P5)+IF(R5="",0,R5*0.5)</f>
        <v>4</v>
      </c>
      <c r="U5" s="22" t="str">
        <f>IF(G5="x",4,"")</f>
        <v/>
      </c>
      <c r="V5" s="22" t="str">
        <f>IF(G5="x",4,"")</f>
        <v/>
      </c>
      <c r="W5" s="26">
        <v>2.25</v>
      </c>
      <c r="X5" s="22"/>
      <c r="Y5" s="22"/>
      <c r="Z5" s="22"/>
      <c r="AA5" s="22"/>
      <c r="AB5" s="22"/>
      <c r="AC5" s="22"/>
      <c r="AD5" s="36"/>
      <c r="AE5" s="22"/>
      <c r="AF5" s="22"/>
      <c r="AG5" s="37"/>
      <c r="AH5" s="28">
        <f t="shared" si="2"/>
        <v>6.25</v>
      </c>
      <c r="AI5" s="38"/>
      <c r="AJ5" s="22"/>
      <c r="AK5" s="22"/>
      <c r="AL5" s="22"/>
      <c r="AM5" s="29"/>
      <c r="AN5" s="30">
        <f t="shared" si="3"/>
        <v>0</v>
      </c>
      <c r="AO5" s="39"/>
      <c r="AP5" s="40"/>
      <c r="AQ5" s="33">
        <f t="shared" si="4"/>
        <v>0</v>
      </c>
      <c r="AR5" s="34">
        <f t="shared" si="5"/>
        <v>14.25</v>
      </c>
      <c r="AS5" s="370">
        <f t="shared" si="6"/>
        <v>0</v>
      </c>
      <c r="AT5" s="355">
        <v>10.133333333333333</v>
      </c>
      <c r="AU5" s="356">
        <f t="shared" si="7"/>
        <v>5.333333333333333</v>
      </c>
      <c r="AV5" s="357">
        <f t="shared" si="8"/>
        <v>0</v>
      </c>
      <c r="AW5" s="358">
        <f t="shared" si="9"/>
        <v>0</v>
      </c>
      <c r="AX5" s="356">
        <f t="shared" ref="AX5:AX13" si="11">+AT5-AU5-AV5-AW5</f>
        <v>4.8</v>
      </c>
      <c r="AY5" s="359">
        <f t="shared" ref="AY5:AY13" si="12">+AU5/(AU5+AX5)</f>
        <v>0.52631578947368418</v>
      </c>
      <c r="AZ5" s="360">
        <f t="shared" ref="AZ5:AZ13" si="13">+AX5/(AU5+AX5)</f>
        <v>0.47368421052631582</v>
      </c>
      <c r="BA5" s="287">
        <v>413250</v>
      </c>
      <c r="BB5" s="287">
        <f t="shared" ref="BB5:BB68" si="14">+BA5/L5</f>
        <v>29000</v>
      </c>
    </row>
    <row r="6" spans="1:54" ht="15.75" thickBot="1" x14ac:dyDescent="0.3">
      <c r="A6" s="17" t="s">
        <v>52</v>
      </c>
      <c r="B6" s="17" t="s">
        <v>53</v>
      </c>
      <c r="C6" s="18" t="s">
        <v>54</v>
      </c>
      <c r="D6" s="18" t="s">
        <v>55</v>
      </c>
      <c r="E6" s="18" t="s">
        <v>56</v>
      </c>
      <c r="F6" s="18"/>
      <c r="G6" s="19" t="s">
        <v>57</v>
      </c>
      <c r="H6" s="19"/>
      <c r="I6" s="20"/>
      <c r="J6" s="20"/>
      <c r="K6" s="19"/>
      <c r="L6" s="21">
        <v>40.450000000000003</v>
      </c>
      <c r="M6" s="22">
        <v>3</v>
      </c>
      <c r="N6" s="22">
        <v>2</v>
      </c>
      <c r="O6" s="22">
        <v>6</v>
      </c>
      <c r="P6" s="22"/>
      <c r="Q6" s="22"/>
      <c r="R6" s="23">
        <f t="shared" si="0"/>
        <v>1</v>
      </c>
      <c r="S6" s="24">
        <f t="shared" si="1"/>
        <v>12</v>
      </c>
      <c r="T6" s="25">
        <v>6.2</v>
      </c>
      <c r="U6" s="22">
        <f>IF(G6="x",4,"")</f>
        <v>4</v>
      </c>
      <c r="V6" s="22">
        <v>4</v>
      </c>
      <c r="W6" s="26">
        <v>2.25</v>
      </c>
      <c r="X6" s="22"/>
      <c r="Y6" s="22"/>
      <c r="Z6" s="22"/>
      <c r="AA6" s="22"/>
      <c r="AB6" s="22"/>
      <c r="AC6" s="22"/>
      <c r="AD6" s="36"/>
      <c r="AE6" s="22"/>
      <c r="AF6" s="22"/>
      <c r="AG6" s="37"/>
      <c r="AH6" s="28">
        <f>SUM(T6:AG6)</f>
        <v>16.45</v>
      </c>
      <c r="AI6" s="38"/>
      <c r="AJ6" s="22"/>
      <c r="AK6" s="22"/>
      <c r="AL6" s="22"/>
      <c r="AM6" s="29"/>
      <c r="AN6" s="30">
        <f t="shared" si="3"/>
        <v>0</v>
      </c>
      <c r="AO6" s="39">
        <v>12</v>
      </c>
      <c r="AP6" s="40" t="s">
        <v>58</v>
      </c>
      <c r="AQ6" s="33">
        <f t="shared" si="4"/>
        <v>12</v>
      </c>
      <c r="AR6" s="34">
        <f t="shared" si="5"/>
        <v>40.450000000000003</v>
      </c>
      <c r="AS6" s="370">
        <f t="shared" si="6"/>
        <v>0</v>
      </c>
      <c r="AT6" s="355">
        <v>32.200000000000003</v>
      </c>
      <c r="AU6" s="356">
        <f t="shared" si="7"/>
        <v>8</v>
      </c>
      <c r="AV6" s="357">
        <f t="shared" si="8"/>
        <v>0</v>
      </c>
      <c r="AW6" s="358">
        <f t="shared" si="9"/>
        <v>8.0000000000000036</v>
      </c>
      <c r="AX6" s="356">
        <f t="shared" si="11"/>
        <v>16.2</v>
      </c>
      <c r="AY6" s="359">
        <f t="shared" si="12"/>
        <v>0.33057851239669422</v>
      </c>
      <c r="AZ6" s="360">
        <f t="shared" si="13"/>
        <v>0.66942148760330578</v>
      </c>
      <c r="BA6" s="287">
        <v>1326760</v>
      </c>
      <c r="BB6" s="287">
        <f t="shared" si="14"/>
        <v>32800</v>
      </c>
    </row>
    <row r="7" spans="1:54" ht="15.75" thickBot="1" x14ac:dyDescent="0.3">
      <c r="A7" s="17" t="s">
        <v>59</v>
      </c>
      <c r="B7" s="17" t="s">
        <v>60</v>
      </c>
      <c r="C7" s="18" t="s">
        <v>54</v>
      </c>
      <c r="D7" s="18" t="s">
        <v>61</v>
      </c>
      <c r="E7" s="18"/>
      <c r="F7" s="18"/>
      <c r="G7" s="19" t="s">
        <v>57</v>
      </c>
      <c r="H7" s="19"/>
      <c r="I7" s="20"/>
      <c r="J7" s="20"/>
      <c r="K7" s="19"/>
      <c r="L7" s="21">
        <v>37.700000000000003</v>
      </c>
      <c r="M7" s="22">
        <v>12</v>
      </c>
      <c r="N7" s="22">
        <v>4</v>
      </c>
      <c r="O7" s="22"/>
      <c r="P7" s="22"/>
      <c r="Q7" s="22"/>
      <c r="R7" s="23">
        <f t="shared" si="0"/>
        <v>1</v>
      </c>
      <c r="S7" s="24">
        <f t="shared" si="1"/>
        <v>17</v>
      </c>
      <c r="T7" s="25">
        <f>IF($C7="",0,VLOOKUP($C7,'[1]Hoja 1'!$C$11:$D$27,2,FALSE)*M7)+IF($D7="",0,VLOOKUP($D7,'[1]Hoja 1'!$C$11:$D$27,2,FALSE)*N7)+IF($F7="",0,VLOOKUP($F7,'[1]Hoja 1'!$C$11:$D$27,2,FALSE)*P7)+IF(R7="",0,R7*0.5)</f>
        <v>8.5</v>
      </c>
      <c r="U7" s="22">
        <f>IF(G7="x",4,"")</f>
        <v>4</v>
      </c>
      <c r="V7" s="22">
        <v>4</v>
      </c>
      <c r="W7" s="26">
        <v>2.25</v>
      </c>
      <c r="X7" s="22"/>
      <c r="Y7" s="22"/>
      <c r="Z7" s="22"/>
      <c r="AA7" s="22"/>
      <c r="AB7" s="22">
        <v>2</v>
      </c>
      <c r="AC7" s="22"/>
      <c r="AD7" s="36"/>
      <c r="AE7" s="22"/>
      <c r="AF7" s="22"/>
      <c r="AG7" s="37"/>
      <c r="AH7" s="28">
        <f t="shared" ref="AH7:AH26" si="15">SUM(T7:AF7)</f>
        <v>20.75</v>
      </c>
      <c r="AI7" s="38"/>
      <c r="AJ7" s="22"/>
      <c r="AK7" s="22"/>
      <c r="AL7" s="22"/>
      <c r="AM7" s="29"/>
      <c r="AN7" s="30">
        <f t="shared" si="3"/>
        <v>0</v>
      </c>
      <c r="AO7" s="39"/>
      <c r="AP7" s="40"/>
      <c r="AQ7" s="33">
        <f t="shared" si="4"/>
        <v>0</v>
      </c>
      <c r="AR7" s="34">
        <f t="shared" si="5"/>
        <v>37.75</v>
      </c>
      <c r="AS7" s="370">
        <f t="shared" si="6"/>
        <v>-4.9999999999997158E-2</v>
      </c>
      <c r="AT7" s="355">
        <v>26.316666666666666</v>
      </c>
      <c r="AU7" s="356">
        <f t="shared" si="7"/>
        <v>12.666666666666666</v>
      </c>
      <c r="AV7" s="357">
        <f t="shared" si="8"/>
        <v>0</v>
      </c>
      <c r="AW7" s="358">
        <f t="shared" si="9"/>
        <v>0</v>
      </c>
      <c r="AX7" s="356">
        <f t="shared" si="11"/>
        <v>13.65</v>
      </c>
      <c r="AY7" s="359">
        <f t="shared" si="12"/>
        <v>0.48131728942368585</v>
      </c>
      <c r="AZ7" s="360">
        <f t="shared" si="13"/>
        <v>0.5186827105763141</v>
      </c>
      <c r="BA7" s="287">
        <v>1287788</v>
      </c>
      <c r="BB7" s="287">
        <f t="shared" si="14"/>
        <v>34158.832891246682</v>
      </c>
    </row>
    <row r="8" spans="1:54" ht="15.75" thickBot="1" x14ac:dyDescent="0.3">
      <c r="A8" s="17" t="s">
        <v>62</v>
      </c>
      <c r="B8" s="17" t="s">
        <v>63</v>
      </c>
      <c r="C8" s="18" t="s">
        <v>64</v>
      </c>
      <c r="D8" s="18"/>
      <c r="E8" s="18"/>
      <c r="F8" s="18"/>
      <c r="G8" s="19" t="s">
        <v>57</v>
      </c>
      <c r="H8" s="19"/>
      <c r="I8" s="20"/>
      <c r="J8" s="20"/>
      <c r="K8" s="19"/>
      <c r="L8" s="21">
        <v>50.25</v>
      </c>
      <c r="M8" s="22">
        <v>19</v>
      </c>
      <c r="N8" s="22"/>
      <c r="O8" s="22"/>
      <c r="P8" s="22"/>
      <c r="Q8" s="22">
        <v>2</v>
      </c>
      <c r="R8" s="23">
        <f t="shared" si="0"/>
        <v>1</v>
      </c>
      <c r="S8" s="24">
        <f t="shared" si="1"/>
        <v>22</v>
      </c>
      <c r="T8" s="25">
        <f>IF($C8="",0,VLOOKUP($C8,'[1]Hoja 1'!$C$11:$D$27,2,FALSE)*M8)+IF($D8="",0,VLOOKUP($D8,'[1]Hoja 1'!$C$11:$D$27,2,FALSE)*N8)+IF($F8="",0,VLOOKUP($F8,'[1]Hoja 1'!$C$11:$D$27,2,FALSE)*P8)+IF(R8="",0,R8*0.5)</f>
        <v>10</v>
      </c>
      <c r="U8" s="22">
        <v>5</v>
      </c>
      <c r="V8" s="22"/>
      <c r="W8" s="26">
        <v>2.25</v>
      </c>
      <c r="X8" s="22"/>
      <c r="Y8" s="22"/>
      <c r="Z8" s="22"/>
      <c r="AA8" s="22"/>
      <c r="AB8" s="22">
        <v>2</v>
      </c>
      <c r="AC8" s="22">
        <v>1</v>
      </c>
      <c r="AD8" s="36"/>
      <c r="AE8" s="22"/>
      <c r="AF8" s="22"/>
      <c r="AG8" s="37"/>
      <c r="AH8" s="28">
        <f t="shared" si="15"/>
        <v>20.25</v>
      </c>
      <c r="AI8" s="38"/>
      <c r="AJ8" s="22"/>
      <c r="AK8" s="22"/>
      <c r="AL8" s="22">
        <v>8</v>
      </c>
      <c r="AM8" s="29" t="s">
        <v>65</v>
      </c>
      <c r="AN8" s="30">
        <f>SUM(AI8:AM8)</f>
        <v>8</v>
      </c>
      <c r="AO8" s="39"/>
      <c r="AP8" s="40"/>
      <c r="AQ8" s="33">
        <f t="shared" si="4"/>
        <v>0</v>
      </c>
      <c r="AR8" s="34">
        <f t="shared" si="5"/>
        <v>50.25</v>
      </c>
      <c r="AS8" s="370">
        <f t="shared" si="6"/>
        <v>0</v>
      </c>
      <c r="AT8" s="355">
        <v>35.4</v>
      </c>
      <c r="AU8" s="356">
        <f t="shared" si="7"/>
        <v>16</v>
      </c>
      <c r="AV8" s="357">
        <f t="shared" si="8"/>
        <v>5.333333333333333</v>
      </c>
      <c r="AW8" s="358">
        <f t="shared" si="9"/>
        <v>0</v>
      </c>
      <c r="AX8" s="356">
        <f t="shared" si="11"/>
        <v>14.066666666666666</v>
      </c>
      <c r="AY8" s="359">
        <f t="shared" si="12"/>
        <v>0.53215077605321504</v>
      </c>
      <c r="AZ8" s="360">
        <f t="shared" si="13"/>
        <v>0.46784922394678491</v>
      </c>
      <c r="BA8" s="287">
        <v>2070882</v>
      </c>
      <c r="BB8" s="287">
        <f t="shared" si="14"/>
        <v>41211.582089552241</v>
      </c>
    </row>
    <row r="9" spans="1:54" ht="15.75" thickBot="1" x14ac:dyDescent="0.3">
      <c r="A9" s="17" t="s">
        <v>66</v>
      </c>
      <c r="B9" s="17" t="s">
        <v>67</v>
      </c>
      <c r="C9" s="18" t="s">
        <v>55</v>
      </c>
      <c r="D9" s="18"/>
      <c r="E9" s="18"/>
      <c r="F9" s="18"/>
      <c r="G9" s="19"/>
      <c r="H9" s="19"/>
      <c r="I9" s="20"/>
      <c r="J9" s="20"/>
      <c r="K9" s="19"/>
      <c r="L9" s="21">
        <v>23.05</v>
      </c>
      <c r="M9" s="22">
        <v>13</v>
      </c>
      <c r="N9" s="22"/>
      <c r="O9" s="22"/>
      <c r="P9" s="22"/>
      <c r="Q9" s="22"/>
      <c r="R9" s="23" t="str">
        <f t="shared" si="0"/>
        <v/>
      </c>
      <c r="S9" s="24">
        <f t="shared" si="1"/>
        <v>13</v>
      </c>
      <c r="T9" s="25">
        <f>IF($C9="",0,VLOOKUP($C9,'[1]Hoja 1'!$C$11:$D$27,2,FALSE)*M9)+IF($D9="",0,VLOOKUP($D9,'[1]Hoja 1'!$C$11:$D$27,2,FALSE)*N9)+IF($F9="",0,VLOOKUP($F9,'[1]Hoja 1'!$C$11:$D$27,2,FALSE)*P9)+IF(R9="",0,R9*0.5)</f>
        <v>7.8</v>
      </c>
      <c r="U9" s="22" t="str">
        <f>IF(G9="x",4,"")</f>
        <v/>
      </c>
      <c r="V9" s="22"/>
      <c r="W9" s="26">
        <v>2.25</v>
      </c>
      <c r="X9" s="22"/>
      <c r="Y9" s="22"/>
      <c r="Z9" s="22"/>
      <c r="AA9" s="22"/>
      <c r="AB9" s="22"/>
      <c r="AC9" s="22"/>
      <c r="AD9" s="36"/>
      <c r="AE9" s="22"/>
      <c r="AF9" s="22"/>
      <c r="AG9" s="37"/>
      <c r="AH9" s="28">
        <f t="shared" si="15"/>
        <v>10.050000000000001</v>
      </c>
      <c r="AI9" s="38"/>
      <c r="AJ9" s="22"/>
      <c r="AK9" s="22"/>
      <c r="AL9" s="22"/>
      <c r="AM9" s="29"/>
      <c r="AN9" s="30">
        <f t="shared" ref="AN9:AN11" si="16">SUM(AI9:AL9)</f>
        <v>0</v>
      </c>
      <c r="AO9" s="39"/>
      <c r="AP9" s="40"/>
      <c r="AQ9" s="33">
        <f t="shared" si="4"/>
        <v>0</v>
      </c>
      <c r="AR9" s="34">
        <f t="shared" si="5"/>
        <v>23.05</v>
      </c>
      <c r="AS9" s="370">
        <f t="shared" si="6"/>
        <v>0</v>
      </c>
      <c r="AT9" s="355">
        <v>17.216666666666665</v>
      </c>
      <c r="AU9" s="356">
        <f t="shared" si="7"/>
        <v>8.6666666666666661</v>
      </c>
      <c r="AV9" s="357">
        <f t="shared" si="8"/>
        <v>0</v>
      </c>
      <c r="AW9" s="358">
        <f t="shared" si="9"/>
        <v>0</v>
      </c>
      <c r="AX9" s="356">
        <f t="shared" si="11"/>
        <v>8.5499999999999989</v>
      </c>
      <c r="AY9" s="359">
        <f t="shared" si="12"/>
        <v>0.50338818973862542</v>
      </c>
      <c r="AZ9" s="360">
        <f t="shared" si="13"/>
        <v>0.49661181026137463</v>
      </c>
      <c r="BA9" s="287">
        <v>1883787</v>
      </c>
      <c r="BB9" s="287">
        <f t="shared" si="14"/>
        <v>81726.117136659435</v>
      </c>
    </row>
    <row r="10" spans="1:54" ht="15.75" thickBot="1" x14ac:dyDescent="0.3">
      <c r="A10" s="17" t="s">
        <v>68</v>
      </c>
      <c r="B10" s="17" t="s">
        <v>69</v>
      </c>
      <c r="C10" s="18" t="s">
        <v>64</v>
      </c>
      <c r="D10" s="18"/>
      <c r="E10" s="18"/>
      <c r="F10" s="18"/>
      <c r="G10" s="19" t="s">
        <v>57</v>
      </c>
      <c r="H10" s="19"/>
      <c r="I10" s="20"/>
      <c r="J10" s="20"/>
      <c r="K10" s="19"/>
      <c r="L10" s="21">
        <v>48.35</v>
      </c>
      <c r="M10" s="22">
        <v>22</v>
      </c>
      <c r="N10" s="22"/>
      <c r="O10" s="22"/>
      <c r="P10" s="22"/>
      <c r="Q10" s="22">
        <v>4</v>
      </c>
      <c r="R10" s="23">
        <f t="shared" si="0"/>
        <v>1</v>
      </c>
      <c r="S10" s="24">
        <f t="shared" si="1"/>
        <v>27</v>
      </c>
      <c r="T10" s="25">
        <f>IF($C10="",0,VLOOKUP($C10,'[1]Hoja 1'!$C$11:$D$27,2,FALSE)*M10)+IF($D10="",0,VLOOKUP($D10,'[1]Hoja 1'!$C$11:$D$27,2,FALSE)*N10)+IF($F10="",0,VLOOKUP($F10,'[1]Hoja 1'!$C$11:$D$27,2,FALSE)*P10)+IF(R10="",0,R10*0.5)</f>
        <v>11.5</v>
      </c>
      <c r="U10" s="22">
        <v>5</v>
      </c>
      <c r="V10" s="22"/>
      <c r="W10" s="26">
        <v>2.25</v>
      </c>
      <c r="X10" s="22"/>
      <c r="Y10" s="22"/>
      <c r="Z10" s="22"/>
      <c r="AA10" s="22"/>
      <c r="AB10" s="22"/>
      <c r="AC10" s="22">
        <v>1</v>
      </c>
      <c r="AD10" s="36">
        <v>1.6</v>
      </c>
      <c r="AE10" s="22"/>
      <c r="AF10" s="22"/>
      <c r="AG10" s="37"/>
      <c r="AH10" s="28">
        <f t="shared" si="15"/>
        <v>21.35</v>
      </c>
      <c r="AI10" s="38"/>
      <c r="AJ10" s="22"/>
      <c r="AK10" s="22"/>
      <c r="AL10" s="22"/>
      <c r="AM10" s="42"/>
      <c r="AN10" s="30">
        <f t="shared" si="16"/>
        <v>0</v>
      </c>
      <c r="AO10" s="39"/>
      <c r="AP10" s="40"/>
      <c r="AQ10" s="33">
        <f t="shared" si="4"/>
        <v>0</v>
      </c>
      <c r="AR10" s="34">
        <f t="shared" si="5"/>
        <v>48.35</v>
      </c>
      <c r="AS10" s="370">
        <f t="shared" si="6"/>
        <v>0</v>
      </c>
      <c r="AT10" s="355">
        <v>33.450000000000003</v>
      </c>
      <c r="AU10" s="356">
        <f t="shared" si="7"/>
        <v>18</v>
      </c>
      <c r="AV10" s="357">
        <f t="shared" si="8"/>
        <v>0</v>
      </c>
      <c r="AW10" s="358">
        <f t="shared" si="9"/>
        <v>0</v>
      </c>
      <c r="AX10" s="356">
        <f t="shared" si="11"/>
        <v>15.450000000000003</v>
      </c>
      <c r="AY10" s="359">
        <f t="shared" si="12"/>
        <v>0.53811659192825112</v>
      </c>
      <c r="AZ10" s="360">
        <f t="shared" si="13"/>
        <v>0.46188340807174894</v>
      </c>
      <c r="BA10" s="287">
        <v>1903693</v>
      </c>
      <c r="BB10" s="287">
        <f t="shared" si="14"/>
        <v>39373.174767321609</v>
      </c>
    </row>
    <row r="11" spans="1:54" ht="15.75" thickBot="1" x14ac:dyDescent="0.3">
      <c r="A11" s="17" t="s">
        <v>70</v>
      </c>
      <c r="B11" s="17" t="s">
        <v>71</v>
      </c>
      <c r="C11" s="18" t="s">
        <v>61</v>
      </c>
      <c r="D11" s="18"/>
      <c r="E11" s="18"/>
      <c r="F11" s="18"/>
      <c r="G11" s="19" t="s">
        <v>57</v>
      </c>
      <c r="H11" s="19"/>
      <c r="I11" s="20"/>
      <c r="J11" s="20"/>
      <c r="K11" s="19"/>
      <c r="L11" s="21">
        <v>31.75</v>
      </c>
      <c r="M11" s="22">
        <v>12</v>
      </c>
      <c r="N11" s="22"/>
      <c r="O11" s="22"/>
      <c r="P11" s="22"/>
      <c r="Q11" s="22"/>
      <c r="R11" s="23">
        <f t="shared" si="0"/>
        <v>1</v>
      </c>
      <c r="S11" s="24">
        <f t="shared" si="1"/>
        <v>13</v>
      </c>
      <c r="T11" s="25">
        <f>IF($C11="",0,VLOOKUP($C11,'[1]Hoja 1'!$C$11:$D$27,2,FALSE)*M11)+IF($D11="",0,VLOOKUP($D11,'[1]Hoja 1'!$C$11:$D$27,2,FALSE)*N11)+IF($F11="",0,VLOOKUP($F11,'[1]Hoja 1'!$C$11:$D$27,2,FALSE)*P11)+IF(R11="",0,R11*0.5)</f>
        <v>6.5</v>
      </c>
      <c r="U11" s="22">
        <f t="shared" ref="U11:U21" si="17">IF(G11="x",4,"")</f>
        <v>4</v>
      </c>
      <c r="V11" s="22">
        <v>4</v>
      </c>
      <c r="W11" s="26">
        <v>2.25</v>
      </c>
      <c r="X11" s="22"/>
      <c r="Y11" s="22"/>
      <c r="Z11" s="22"/>
      <c r="AA11" s="22"/>
      <c r="AB11" s="22">
        <v>2</v>
      </c>
      <c r="AC11" s="22"/>
      <c r="AD11" s="36"/>
      <c r="AE11" s="22"/>
      <c r="AF11" s="22"/>
      <c r="AG11" s="43"/>
      <c r="AH11" s="28">
        <f t="shared" si="15"/>
        <v>18.75</v>
      </c>
      <c r="AI11" s="38"/>
      <c r="AJ11" s="22"/>
      <c r="AK11" s="22"/>
      <c r="AL11" s="22"/>
      <c r="AM11" s="42"/>
      <c r="AN11" s="30">
        <f t="shared" si="16"/>
        <v>0</v>
      </c>
      <c r="AO11" s="39"/>
      <c r="AP11" s="40"/>
      <c r="AQ11" s="33">
        <f t="shared" si="4"/>
        <v>0</v>
      </c>
      <c r="AR11" s="34">
        <f t="shared" si="5"/>
        <v>31.75</v>
      </c>
      <c r="AS11" s="370">
        <f t="shared" si="6"/>
        <v>0</v>
      </c>
      <c r="AT11" s="355">
        <v>23.25</v>
      </c>
      <c r="AU11" s="356">
        <f t="shared" si="7"/>
        <v>10</v>
      </c>
      <c r="AV11" s="357">
        <f t="shared" si="8"/>
        <v>0</v>
      </c>
      <c r="AW11" s="358">
        <f t="shared" si="9"/>
        <v>0</v>
      </c>
      <c r="AX11" s="356">
        <f t="shared" si="11"/>
        <v>13.25</v>
      </c>
      <c r="AY11" s="359">
        <f t="shared" si="12"/>
        <v>0.43010752688172044</v>
      </c>
      <c r="AZ11" s="360">
        <f t="shared" si="13"/>
        <v>0.56989247311827962</v>
      </c>
      <c r="BA11" s="287">
        <v>1315656</v>
      </c>
      <c r="BB11" s="287">
        <f t="shared" si="14"/>
        <v>41437.984251968504</v>
      </c>
    </row>
    <row r="12" spans="1:54" ht="15.75" thickBot="1" x14ac:dyDescent="0.3">
      <c r="A12" s="17" t="s">
        <v>72</v>
      </c>
      <c r="B12" s="17" t="s">
        <v>73</v>
      </c>
      <c r="C12" s="18" t="s">
        <v>74</v>
      </c>
      <c r="D12" s="18"/>
      <c r="E12" s="18"/>
      <c r="F12" s="18"/>
      <c r="G12" s="19"/>
      <c r="H12" s="19"/>
      <c r="I12" s="20"/>
      <c r="J12" s="20"/>
      <c r="K12" s="19"/>
      <c r="L12" s="21">
        <v>24.75</v>
      </c>
      <c r="M12" s="22">
        <v>11</v>
      </c>
      <c r="N12" s="22"/>
      <c r="O12" s="22"/>
      <c r="P12" s="22"/>
      <c r="Q12" s="22"/>
      <c r="R12" s="23" t="str">
        <f t="shared" si="0"/>
        <v/>
      </c>
      <c r="S12" s="24">
        <f t="shared" si="1"/>
        <v>11</v>
      </c>
      <c r="T12" s="25">
        <f>IF($C12="",0,VLOOKUP($C12,'[1]Hoja 1'!$C$11:$D$27,2,FALSE)*M12)+IF($D12="",0,VLOOKUP($D12,'[1]Hoja 1'!$C$11:$D$27,2,FALSE)*N12)+IF($F12="",0,VLOOKUP($F12,'[1]Hoja 1'!$C$11:$D$27,2,FALSE)*P12)+IF(R12="",0,R12*0.5)</f>
        <v>5.5</v>
      </c>
      <c r="U12" s="22" t="str">
        <f t="shared" si="17"/>
        <v/>
      </c>
      <c r="V12" s="22"/>
      <c r="W12" s="26">
        <v>2.25</v>
      </c>
      <c r="X12" s="22"/>
      <c r="Y12" s="22"/>
      <c r="Z12" s="22"/>
      <c r="AA12" s="22"/>
      <c r="AB12" s="22">
        <v>2</v>
      </c>
      <c r="AC12" s="22"/>
      <c r="AD12" s="36"/>
      <c r="AE12" s="22"/>
      <c r="AF12" s="22"/>
      <c r="AG12" s="43"/>
      <c r="AH12" s="28">
        <f t="shared" si="15"/>
        <v>9.75</v>
      </c>
      <c r="AI12" s="38"/>
      <c r="AJ12" s="22"/>
      <c r="AK12" s="22"/>
      <c r="AL12" s="22">
        <v>4</v>
      </c>
      <c r="AM12" s="42" t="s">
        <v>75</v>
      </c>
      <c r="AN12" s="30">
        <f>SUM(AI12:AM12)</f>
        <v>4</v>
      </c>
      <c r="AO12" s="39"/>
      <c r="AP12" s="40"/>
      <c r="AQ12" s="33">
        <f t="shared" si="4"/>
        <v>0</v>
      </c>
      <c r="AR12" s="34">
        <f t="shared" si="5"/>
        <v>24.75</v>
      </c>
      <c r="AS12" s="370">
        <f t="shared" si="6"/>
        <v>0</v>
      </c>
      <c r="AT12" s="355">
        <v>18.216666666666665</v>
      </c>
      <c r="AU12" s="356">
        <f t="shared" si="7"/>
        <v>8.6666666666666661</v>
      </c>
      <c r="AV12" s="357">
        <f t="shared" si="8"/>
        <v>2.6666666666666665</v>
      </c>
      <c r="AW12" s="358">
        <f t="shared" si="9"/>
        <v>0</v>
      </c>
      <c r="AX12" s="356">
        <f t="shared" si="11"/>
        <v>6.8833333333333329</v>
      </c>
      <c r="AY12" s="359">
        <f t="shared" si="12"/>
        <v>0.55734190782422288</v>
      </c>
      <c r="AZ12" s="360">
        <f t="shared" si="13"/>
        <v>0.44265809217577706</v>
      </c>
      <c r="BA12" s="287">
        <v>871239</v>
      </c>
      <c r="BB12" s="287">
        <f t="shared" si="14"/>
        <v>35201.57575757576</v>
      </c>
    </row>
    <row r="13" spans="1:54" ht="15.75" thickBot="1" x14ac:dyDescent="0.3">
      <c r="A13" s="17" t="s">
        <v>76</v>
      </c>
      <c r="B13" s="17" t="s">
        <v>77</v>
      </c>
      <c r="C13" s="18" t="s">
        <v>47</v>
      </c>
      <c r="D13" s="18"/>
      <c r="E13" s="18"/>
      <c r="F13" s="18"/>
      <c r="G13" s="19" t="s">
        <v>57</v>
      </c>
      <c r="H13" s="19"/>
      <c r="I13" s="20"/>
      <c r="J13" s="20"/>
      <c r="K13" s="19"/>
      <c r="L13" s="21">
        <v>44.75</v>
      </c>
      <c r="M13" s="22">
        <v>20</v>
      </c>
      <c r="N13" s="22"/>
      <c r="O13" s="22"/>
      <c r="P13" s="22"/>
      <c r="Q13" s="22"/>
      <c r="R13" s="23">
        <f t="shared" si="0"/>
        <v>1</v>
      </c>
      <c r="S13" s="24">
        <f t="shared" si="1"/>
        <v>21</v>
      </c>
      <c r="T13" s="25">
        <f>IF($C13="",0,VLOOKUP($C13,'[1]Hoja 1'!$C$11:$D$27,2,FALSE)*M13)+IF($D13="",0,VLOOKUP($D13,'[1]Hoja 1'!$C$11:$D$27,2,FALSE)*N13)+IF($F13="",0,VLOOKUP($F13,'[1]Hoja 1'!$C$11:$D$27,2,FALSE)*P13)+IF(R13="",0,R13*0.5)</f>
        <v>10.5</v>
      </c>
      <c r="U13" s="22">
        <f t="shared" si="17"/>
        <v>4</v>
      </c>
      <c r="V13" s="22">
        <v>4</v>
      </c>
      <c r="W13" s="26">
        <v>2.25</v>
      </c>
      <c r="X13" s="22"/>
      <c r="Y13" s="22"/>
      <c r="Z13" s="22"/>
      <c r="AA13" s="22"/>
      <c r="AB13" s="22">
        <v>2</v>
      </c>
      <c r="AC13" s="22">
        <v>1</v>
      </c>
      <c r="AD13" s="36"/>
      <c r="AE13" s="22"/>
      <c r="AF13" s="22"/>
      <c r="AG13" s="27"/>
      <c r="AH13" s="28">
        <f t="shared" si="15"/>
        <v>23.75</v>
      </c>
      <c r="AI13" s="38"/>
      <c r="AJ13" s="22"/>
      <c r="AK13" s="22"/>
      <c r="AL13" s="22"/>
      <c r="AM13" s="42"/>
      <c r="AN13" s="30">
        <f t="shared" ref="AN13:AN17" si="18">SUM(AI13:AL13)</f>
        <v>0</v>
      </c>
      <c r="AO13" s="39"/>
      <c r="AP13" s="40"/>
      <c r="AQ13" s="33">
        <f t="shared" si="4"/>
        <v>0</v>
      </c>
      <c r="AR13" s="34">
        <f t="shared" si="5"/>
        <v>44.75</v>
      </c>
      <c r="AS13" s="370">
        <f t="shared" si="6"/>
        <v>0</v>
      </c>
      <c r="AT13" s="355">
        <v>32.383333333333333</v>
      </c>
      <c r="AU13" s="356">
        <f t="shared" si="7"/>
        <v>15.333333333333334</v>
      </c>
      <c r="AV13" s="357">
        <f t="shared" si="8"/>
        <v>0</v>
      </c>
      <c r="AW13" s="358">
        <f t="shared" si="9"/>
        <v>0</v>
      </c>
      <c r="AX13" s="356">
        <f t="shared" si="11"/>
        <v>17.049999999999997</v>
      </c>
      <c r="AY13" s="359">
        <f t="shared" si="12"/>
        <v>0.47349459598558929</v>
      </c>
      <c r="AZ13" s="360">
        <f t="shared" si="13"/>
        <v>0.52650540401441059</v>
      </c>
      <c r="BA13" s="287">
        <v>2331517</v>
      </c>
      <c r="BB13" s="287">
        <f t="shared" si="14"/>
        <v>52100.938547486032</v>
      </c>
    </row>
    <row r="14" spans="1:54" ht="15.75" thickBot="1" x14ac:dyDescent="0.3">
      <c r="A14" s="17" t="s">
        <v>78</v>
      </c>
      <c r="B14" s="17" t="s">
        <v>79</v>
      </c>
      <c r="C14" s="18" t="s">
        <v>80</v>
      </c>
      <c r="D14" s="18"/>
      <c r="E14" s="18"/>
      <c r="F14" s="18"/>
      <c r="G14" s="19"/>
      <c r="H14" s="19"/>
      <c r="I14" s="20"/>
      <c r="J14" s="20"/>
      <c r="K14" s="19"/>
      <c r="L14" s="21">
        <v>49.63</v>
      </c>
      <c r="M14" s="22">
        <v>35.75</v>
      </c>
      <c r="N14" s="22"/>
      <c r="O14" s="22"/>
      <c r="P14" s="22"/>
      <c r="Q14" s="22"/>
      <c r="R14" s="23" t="str">
        <f t="shared" si="0"/>
        <v/>
      </c>
      <c r="S14" s="24">
        <f t="shared" si="1"/>
        <v>35.75</v>
      </c>
      <c r="T14" s="25">
        <v>11.625</v>
      </c>
      <c r="U14" s="22" t="str">
        <f t="shared" si="17"/>
        <v/>
      </c>
      <c r="V14" s="22"/>
      <c r="W14" s="26">
        <v>2.25</v>
      </c>
      <c r="X14" s="22"/>
      <c r="Y14" s="22"/>
      <c r="Z14" s="22"/>
      <c r="AA14" s="22"/>
      <c r="AB14" s="22"/>
      <c r="AC14" s="22"/>
      <c r="AD14" s="36"/>
      <c r="AE14" s="22"/>
      <c r="AF14" s="22"/>
      <c r="AG14" s="27"/>
      <c r="AH14" s="28">
        <f t="shared" si="15"/>
        <v>13.875</v>
      </c>
      <c r="AI14" s="38"/>
      <c r="AJ14" s="22"/>
      <c r="AK14" s="22"/>
      <c r="AL14" s="22"/>
      <c r="AM14" s="42"/>
      <c r="AN14" s="30">
        <f t="shared" si="18"/>
        <v>0</v>
      </c>
      <c r="AO14" s="39"/>
      <c r="AP14" s="40"/>
      <c r="AQ14" s="33">
        <f t="shared" si="4"/>
        <v>0</v>
      </c>
      <c r="AR14" s="34">
        <f t="shared" si="5"/>
        <v>49.625</v>
      </c>
      <c r="AS14" s="370">
        <f t="shared" si="6"/>
        <v>5.000000000002558E-3</v>
      </c>
      <c r="AT14" s="355">
        <v>33.583333333333336</v>
      </c>
      <c r="AU14" s="356">
        <f t="shared" si="7"/>
        <v>23.833333333333332</v>
      </c>
      <c r="AV14" s="376">
        <f t="shared" si="8"/>
        <v>0</v>
      </c>
      <c r="AW14" s="358">
        <f t="shared" si="9"/>
        <v>0</v>
      </c>
      <c r="AX14" s="356">
        <f t="shared" ref="AX14:AX68" si="19">+AT14-AU14-AV14-AW14</f>
        <v>9.7500000000000036</v>
      </c>
      <c r="AY14" s="359">
        <f t="shared" ref="AY14:AY68" si="20">+AU14/(AU14+AX14)</f>
        <v>0.70967741935483863</v>
      </c>
      <c r="AZ14" s="360">
        <f t="shared" ref="AZ14:AZ68" si="21">+AX14/(AU14+AX14)</f>
        <v>0.29032258064516137</v>
      </c>
      <c r="BA14" s="287">
        <v>1868311</v>
      </c>
      <c r="BB14" s="287">
        <f t="shared" si="14"/>
        <v>37644.791456780171</v>
      </c>
    </row>
    <row r="15" spans="1:54" ht="15.75" thickBot="1" x14ac:dyDescent="0.3">
      <c r="A15" s="17" t="s">
        <v>81</v>
      </c>
      <c r="B15" s="17" t="s">
        <v>82</v>
      </c>
      <c r="C15" s="18" t="s">
        <v>61</v>
      </c>
      <c r="D15" s="18"/>
      <c r="E15" s="18"/>
      <c r="F15" s="18"/>
      <c r="G15" s="19" t="s">
        <v>57</v>
      </c>
      <c r="H15" s="19"/>
      <c r="I15" s="20"/>
      <c r="J15" s="20"/>
      <c r="K15" s="19"/>
      <c r="L15" s="21">
        <v>40.75</v>
      </c>
      <c r="M15" s="22">
        <v>18</v>
      </c>
      <c r="N15" s="22"/>
      <c r="O15" s="22"/>
      <c r="P15" s="22"/>
      <c r="Q15" s="22"/>
      <c r="R15" s="23">
        <f t="shared" si="0"/>
        <v>1</v>
      </c>
      <c r="S15" s="24">
        <f t="shared" si="1"/>
        <v>19</v>
      </c>
      <c r="T15" s="25">
        <f>IF($C15="",0,VLOOKUP($C15,'[1]Hoja 1'!$C$11:$D$27,2,FALSE)*M15)+IF($D15="",0,VLOOKUP($D15,'[1]Hoja 1'!$C$11:$D$27,2,FALSE)*N15)+IF($F15="",0,VLOOKUP($F15,'[1]Hoja 1'!$C$11:$D$27,2,FALSE)*P15)+IF(R15="",0,R15*0.5)</f>
        <v>9.5</v>
      </c>
      <c r="U15" s="22">
        <f t="shared" si="17"/>
        <v>4</v>
      </c>
      <c r="V15" s="22">
        <v>4</v>
      </c>
      <c r="W15" s="26">
        <v>2.25</v>
      </c>
      <c r="X15" s="22"/>
      <c r="Y15" s="22"/>
      <c r="Z15" s="22"/>
      <c r="AA15" s="22"/>
      <c r="AB15" s="22">
        <v>2</v>
      </c>
      <c r="AC15" s="22"/>
      <c r="AD15" s="36"/>
      <c r="AE15" s="22"/>
      <c r="AF15" s="22"/>
      <c r="AG15" s="27"/>
      <c r="AH15" s="28">
        <f t="shared" si="15"/>
        <v>21.75</v>
      </c>
      <c r="AI15" s="38"/>
      <c r="AJ15" s="22"/>
      <c r="AK15" s="22"/>
      <c r="AL15" s="22"/>
      <c r="AM15" s="42"/>
      <c r="AN15" s="30">
        <f t="shared" si="18"/>
        <v>0</v>
      </c>
      <c r="AO15" s="39"/>
      <c r="AP15" s="40"/>
      <c r="AQ15" s="33">
        <f t="shared" si="4"/>
        <v>0</v>
      </c>
      <c r="AR15" s="34">
        <f t="shared" si="5"/>
        <v>40.75</v>
      </c>
      <c r="AS15" s="370">
        <f t="shared" si="6"/>
        <v>0</v>
      </c>
      <c r="AT15" s="355">
        <v>30.35</v>
      </c>
      <c r="AU15" s="356">
        <f t="shared" si="7"/>
        <v>14</v>
      </c>
      <c r="AV15" s="357">
        <f t="shared" si="8"/>
        <v>0</v>
      </c>
      <c r="AW15" s="358">
        <f t="shared" si="9"/>
        <v>0</v>
      </c>
      <c r="AX15" s="356">
        <f t="shared" si="19"/>
        <v>16.350000000000001</v>
      </c>
      <c r="AY15" s="359">
        <f t="shared" si="20"/>
        <v>0.46128500823723229</v>
      </c>
      <c r="AZ15" s="360">
        <f t="shared" si="21"/>
        <v>0.53871499176276771</v>
      </c>
      <c r="BA15" s="287">
        <v>2026396</v>
      </c>
      <c r="BB15" s="287">
        <f t="shared" si="14"/>
        <v>49727.509202453984</v>
      </c>
    </row>
    <row r="16" spans="1:54" ht="15.75" thickBot="1" x14ac:dyDescent="0.3">
      <c r="A16" s="17" t="s">
        <v>83</v>
      </c>
      <c r="B16" s="17" t="s">
        <v>84</v>
      </c>
      <c r="C16" s="18" t="s">
        <v>55</v>
      </c>
      <c r="D16" s="18"/>
      <c r="E16" s="18"/>
      <c r="F16" s="18"/>
      <c r="G16" s="19" t="s">
        <v>57</v>
      </c>
      <c r="H16" s="19"/>
      <c r="I16" s="20"/>
      <c r="J16" s="20"/>
      <c r="K16" s="19"/>
      <c r="L16" s="21">
        <v>44.25</v>
      </c>
      <c r="M16" s="22">
        <v>17</v>
      </c>
      <c r="N16" s="22"/>
      <c r="O16" s="22"/>
      <c r="P16" s="22"/>
      <c r="Q16" s="22"/>
      <c r="R16" s="23">
        <f t="shared" si="0"/>
        <v>1</v>
      </c>
      <c r="S16" s="24">
        <f t="shared" si="1"/>
        <v>18</v>
      </c>
      <c r="T16" s="25">
        <f>IF($C16="",0,VLOOKUP($C16,'[1]Hoja 1'!$C$11:$D$27,2,FALSE)*M16)+IF($D16="",0,VLOOKUP($D16,'[1]Hoja 1'!$C$11:$D$27,2,FALSE)*N16)+IF($F16="",0,VLOOKUP($F16,'[1]Hoja 1'!$C$11:$D$27,2,FALSE)*P16)+IF(R16="",0,R16*0.5)</f>
        <v>10.7</v>
      </c>
      <c r="U16" s="22">
        <f t="shared" si="17"/>
        <v>4</v>
      </c>
      <c r="V16" s="22">
        <v>4</v>
      </c>
      <c r="W16" s="26">
        <v>2.25</v>
      </c>
      <c r="X16" s="22"/>
      <c r="Y16" s="22"/>
      <c r="Z16" s="22"/>
      <c r="AA16" s="22"/>
      <c r="AB16" s="22">
        <v>1</v>
      </c>
      <c r="AC16" s="22">
        <v>4</v>
      </c>
      <c r="AD16" s="36"/>
      <c r="AE16" s="22"/>
      <c r="AF16" s="22"/>
      <c r="AG16" s="27"/>
      <c r="AH16" s="28">
        <f t="shared" si="15"/>
        <v>25.95</v>
      </c>
      <c r="AI16" s="38"/>
      <c r="AJ16" s="22"/>
      <c r="AK16" s="22"/>
      <c r="AL16" s="22"/>
      <c r="AM16" s="42"/>
      <c r="AN16" s="30">
        <f t="shared" si="18"/>
        <v>0</v>
      </c>
      <c r="AO16" s="39">
        <v>0.3</v>
      </c>
      <c r="AP16" s="40" t="s">
        <v>85</v>
      </c>
      <c r="AQ16" s="33">
        <f t="shared" si="4"/>
        <v>0.3</v>
      </c>
      <c r="AR16" s="34">
        <f t="shared" si="5"/>
        <v>44.25</v>
      </c>
      <c r="AS16" s="370">
        <f t="shared" si="6"/>
        <v>0</v>
      </c>
      <c r="AT16" s="355">
        <v>35.283333333333331</v>
      </c>
      <c r="AU16" s="356">
        <f t="shared" si="7"/>
        <v>12.666666666666666</v>
      </c>
      <c r="AV16" s="357">
        <f t="shared" si="8"/>
        <v>0</v>
      </c>
      <c r="AW16" s="358">
        <f t="shared" si="9"/>
        <v>0.20000000000000009</v>
      </c>
      <c r="AX16" s="356">
        <f t="shared" si="19"/>
        <v>22.416666666666668</v>
      </c>
      <c r="AY16" s="359">
        <f t="shared" si="20"/>
        <v>0.36104513064133015</v>
      </c>
      <c r="AZ16" s="360">
        <f t="shared" si="21"/>
        <v>0.63895486935866985</v>
      </c>
      <c r="BA16" s="287">
        <v>2318004</v>
      </c>
      <c r="BB16" s="287">
        <f t="shared" si="14"/>
        <v>52384.271186440681</v>
      </c>
    </row>
    <row r="17" spans="1:54" ht="15.75" thickBot="1" x14ac:dyDescent="0.3">
      <c r="A17" s="17" t="s">
        <v>86</v>
      </c>
      <c r="B17" s="17" t="s">
        <v>87</v>
      </c>
      <c r="C17" s="18" t="s">
        <v>56</v>
      </c>
      <c r="D17" s="18"/>
      <c r="E17" s="18"/>
      <c r="F17" s="18"/>
      <c r="G17" s="19" t="s">
        <v>57</v>
      </c>
      <c r="H17" s="19"/>
      <c r="I17" s="20"/>
      <c r="J17" s="20"/>
      <c r="K17" s="19"/>
      <c r="L17" s="21">
        <v>27.75</v>
      </c>
      <c r="M17" s="22">
        <v>6</v>
      </c>
      <c r="N17" s="22"/>
      <c r="O17" s="22"/>
      <c r="P17" s="22"/>
      <c r="Q17" s="22"/>
      <c r="R17" s="23">
        <f t="shared" si="0"/>
        <v>1</v>
      </c>
      <c r="S17" s="24">
        <f t="shared" si="1"/>
        <v>7</v>
      </c>
      <c r="T17" s="25">
        <f>IF($C17="",0,VLOOKUP($C17,'[1]Hoja 1'!$C$11:$D$27,2,FALSE)*M17)+IF($D17="",0,VLOOKUP($D17,'[1]Hoja 1'!$C$11:$D$27,2,FALSE)*N17)+IF($F17="",0,VLOOKUP($F17,'[1]Hoja 1'!$C$11:$D$27,2,FALSE)*P17)+IF(R17="",0,R17*0.5)</f>
        <v>3.5</v>
      </c>
      <c r="U17" s="22">
        <f t="shared" si="17"/>
        <v>4</v>
      </c>
      <c r="V17" s="22">
        <v>4</v>
      </c>
      <c r="W17" s="26">
        <v>2.25</v>
      </c>
      <c r="X17" s="22"/>
      <c r="Y17" s="22"/>
      <c r="Z17" s="22"/>
      <c r="AA17" s="22"/>
      <c r="AB17" s="22">
        <v>2</v>
      </c>
      <c r="AC17" s="22"/>
      <c r="AD17" s="36"/>
      <c r="AE17" s="22"/>
      <c r="AF17" s="22"/>
      <c r="AG17" s="27"/>
      <c r="AH17" s="28">
        <f t="shared" si="15"/>
        <v>15.75</v>
      </c>
      <c r="AI17" s="38"/>
      <c r="AJ17" s="22"/>
      <c r="AK17" s="22"/>
      <c r="AL17" s="22"/>
      <c r="AM17" s="42"/>
      <c r="AN17" s="30">
        <f t="shared" si="18"/>
        <v>0</v>
      </c>
      <c r="AO17" s="39">
        <v>5</v>
      </c>
      <c r="AP17" s="40" t="s">
        <v>88</v>
      </c>
      <c r="AQ17" s="33">
        <f t="shared" si="4"/>
        <v>5</v>
      </c>
      <c r="AR17" s="34">
        <f t="shared" si="5"/>
        <v>27.75</v>
      </c>
      <c r="AS17" s="370">
        <f t="shared" si="6"/>
        <v>0</v>
      </c>
      <c r="AT17" s="355">
        <v>19.149999999999999</v>
      </c>
      <c r="AU17" s="356">
        <f t="shared" si="7"/>
        <v>6</v>
      </c>
      <c r="AV17" s="357">
        <f t="shared" si="8"/>
        <v>0</v>
      </c>
      <c r="AW17" s="358">
        <f t="shared" si="9"/>
        <v>3.3333333333333348</v>
      </c>
      <c r="AX17" s="356">
        <f t="shared" si="19"/>
        <v>9.8166666666666629</v>
      </c>
      <c r="AY17" s="359">
        <f t="shared" si="20"/>
        <v>0.37934668071654382</v>
      </c>
      <c r="AZ17" s="360">
        <f t="shared" si="21"/>
        <v>0.62065331928345613</v>
      </c>
      <c r="BA17" s="287">
        <v>1165500</v>
      </c>
      <c r="BB17" s="287">
        <f t="shared" si="14"/>
        <v>42000</v>
      </c>
    </row>
    <row r="18" spans="1:54" ht="15.75" thickBot="1" x14ac:dyDescent="0.3">
      <c r="A18" s="17" t="s">
        <v>89</v>
      </c>
      <c r="B18" s="17" t="s">
        <v>90</v>
      </c>
      <c r="C18" s="18" t="s">
        <v>54</v>
      </c>
      <c r="D18" s="18"/>
      <c r="E18" s="18"/>
      <c r="F18" s="18"/>
      <c r="G18" s="19"/>
      <c r="H18" s="19"/>
      <c r="I18" s="20"/>
      <c r="J18" s="20"/>
      <c r="K18" s="19"/>
      <c r="L18" s="21">
        <v>32.75</v>
      </c>
      <c r="M18" s="22">
        <v>17</v>
      </c>
      <c r="N18" s="22"/>
      <c r="O18" s="22"/>
      <c r="P18" s="22"/>
      <c r="Q18" s="22"/>
      <c r="R18" s="23" t="str">
        <f t="shared" si="0"/>
        <v/>
      </c>
      <c r="S18" s="24">
        <f t="shared" si="1"/>
        <v>17</v>
      </c>
      <c r="T18" s="25">
        <f>IF($C18="",0,VLOOKUP($C18,'[1]Hoja 1'!$C$11:$D$27,2,FALSE)*M18)+IF($D18="",0,VLOOKUP($D18,'[1]Hoja 1'!$C$11:$D$27,2,FALSE)*N18)+IF($F18="",0,VLOOKUP($F18,'[1]Hoja 1'!$C$11:$D$27,2,FALSE)*P18)+IF(R18="",0,R18*0.5)</f>
        <v>8.5</v>
      </c>
      <c r="U18" s="22" t="str">
        <f t="shared" si="17"/>
        <v/>
      </c>
      <c r="V18" s="22"/>
      <c r="W18" s="26">
        <v>2.25</v>
      </c>
      <c r="X18" s="22"/>
      <c r="Y18" s="22"/>
      <c r="Z18" s="22"/>
      <c r="AA18" s="22"/>
      <c r="AB18" s="22">
        <v>2</v>
      </c>
      <c r="AC18" s="22"/>
      <c r="AD18" s="36"/>
      <c r="AE18" s="22"/>
      <c r="AF18" s="22"/>
      <c r="AG18" s="27"/>
      <c r="AH18" s="28">
        <f t="shared" si="15"/>
        <v>12.75</v>
      </c>
      <c r="AI18" s="38"/>
      <c r="AJ18" s="22"/>
      <c r="AK18" s="22"/>
      <c r="AL18" s="22">
        <v>3</v>
      </c>
      <c r="AM18" s="42" t="s">
        <v>91</v>
      </c>
      <c r="AN18" s="30">
        <f>SUM(AI18:AM18)</f>
        <v>3</v>
      </c>
      <c r="AO18" s="39"/>
      <c r="AP18" s="40"/>
      <c r="AQ18" s="33">
        <f t="shared" si="4"/>
        <v>0</v>
      </c>
      <c r="AR18" s="34">
        <f t="shared" si="5"/>
        <v>32.75</v>
      </c>
      <c r="AS18" s="370">
        <f t="shared" si="6"/>
        <v>0</v>
      </c>
      <c r="AT18" s="355">
        <v>24.316666666666666</v>
      </c>
      <c r="AU18" s="356">
        <f t="shared" si="7"/>
        <v>12.666666666666666</v>
      </c>
      <c r="AV18" s="357">
        <f t="shared" si="8"/>
        <v>2</v>
      </c>
      <c r="AW18" s="358">
        <f t="shared" si="9"/>
        <v>0</v>
      </c>
      <c r="AX18" s="356">
        <f t="shared" si="19"/>
        <v>9.65</v>
      </c>
      <c r="AY18" s="359">
        <f t="shared" si="20"/>
        <v>0.56758775205377143</v>
      </c>
      <c r="AZ18" s="360">
        <f t="shared" si="21"/>
        <v>0.43241224794622857</v>
      </c>
      <c r="BA18" s="287">
        <v>1318134</v>
      </c>
      <c r="BB18" s="287">
        <f t="shared" si="14"/>
        <v>40248.366412213742</v>
      </c>
    </row>
    <row r="19" spans="1:54" ht="15.75" thickBot="1" x14ac:dyDescent="0.3">
      <c r="A19" s="17" t="s">
        <v>92</v>
      </c>
      <c r="B19" s="17" t="s">
        <v>93</v>
      </c>
      <c r="C19" s="18" t="s">
        <v>56</v>
      </c>
      <c r="D19" s="18"/>
      <c r="E19" s="18"/>
      <c r="F19" s="18"/>
      <c r="G19" s="19"/>
      <c r="H19" s="19"/>
      <c r="I19" s="20"/>
      <c r="J19" s="20"/>
      <c r="K19" s="19"/>
      <c r="L19" s="21">
        <v>15.75</v>
      </c>
      <c r="M19" s="22">
        <v>9</v>
      </c>
      <c r="N19" s="22"/>
      <c r="O19" s="22"/>
      <c r="P19" s="22"/>
      <c r="Q19" s="22"/>
      <c r="R19" s="23" t="str">
        <f t="shared" si="0"/>
        <v/>
      </c>
      <c r="S19" s="24">
        <f t="shared" si="1"/>
        <v>9</v>
      </c>
      <c r="T19" s="25">
        <f>IF($C19="",0,VLOOKUP($C19,'[1]Hoja 1'!$C$11:$D$27,2,FALSE)*M19)+IF($D19="",0,VLOOKUP($D19,'[1]Hoja 1'!$C$11:$D$27,2,FALSE)*N19)+IF($F19="",0,VLOOKUP($F19,'[1]Hoja 1'!$C$11:$D$27,2,FALSE)*P19)+IF(R19="",0,R19*0.5)</f>
        <v>4.5</v>
      </c>
      <c r="U19" s="22" t="str">
        <f t="shared" si="17"/>
        <v/>
      </c>
      <c r="V19" s="22"/>
      <c r="W19" s="26">
        <v>2.25</v>
      </c>
      <c r="X19" s="22"/>
      <c r="Y19" s="22"/>
      <c r="Z19" s="22"/>
      <c r="AA19" s="22"/>
      <c r="AB19" s="22"/>
      <c r="AC19" s="22"/>
      <c r="AD19" s="36"/>
      <c r="AE19" s="22"/>
      <c r="AF19" s="22"/>
      <c r="AG19" s="27"/>
      <c r="AH19" s="28">
        <f t="shared" si="15"/>
        <v>6.75</v>
      </c>
      <c r="AI19" s="38"/>
      <c r="AJ19" s="22"/>
      <c r="AK19" s="22"/>
      <c r="AL19" s="22"/>
      <c r="AM19" s="42"/>
      <c r="AN19" s="30">
        <f t="shared" ref="AN19:AN31" si="22">SUM(AI19:AL19)</f>
        <v>0</v>
      </c>
      <c r="AO19" s="39"/>
      <c r="AP19" s="40"/>
      <c r="AQ19" s="33">
        <f t="shared" si="4"/>
        <v>0</v>
      </c>
      <c r="AR19" s="34">
        <f t="shared" si="5"/>
        <v>15.75</v>
      </c>
      <c r="AS19" s="370">
        <f t="shared" si="6"/>
        <v>0</v>
      </c>
      <c r="AT19" s="355">
        <v>11.15</v>
      </c>
      <c r="AU19" s="356">
        <f t="shared" si="7"/>
        <v>6</v>
      </c>
      <c r="AV19" s="357">
        <f t="shared" si="8"/>
        <v>0</v>
      </c>
      <c r="AW19" s="358">
        <f t="shared" si="9"/>
        <v>0</v>
      </c>
      <c r="AX19" s="356">
        <f t="shared" si="19"/>
        <v>5.15</v>
      </c>
      <c r="AY19" s="359">
        <f t="shared" si="20"/>
        <v>0.53811659192825112</v>
      </c>
      <c r="AZ19" s="360">
        <f t="shared" si="21"/>
        <v>0.46188340807174888</v>
      </c>
      <c r="BA19" s="287">
        <v>562562</v>
      </c>
      <c r="BB19" s="287">
        <f t="shared" si="14"/>
        <v>35718.222222222219</v>
      </c>
    </row>
    <row r="20" spans="1:54" ht="15.75" thickBot="1" x14ac:dyDescent="0.3">
      <c r="A20" s="17" t="s">
        <v>94</v>
      </c>
      <c r="B20" s="17" t="s">
        <v>95</v>
      </c>
      <c r="C20" s="18" t="s">
        <v>80</v>
      </c>
      <c r="D20" s="18"/>
      <c r="E20" s="18"/>
      <c r="F20" s="18"/>
      <c r="G20" s="19"/>
      <c r="H20" s="19"/>
      <c r="I20" s="20"/>
      <c r="J20" s="20"/>
      <c r="K20" s="19"/>
      <c r="L20" s="21">
        <v>49.63</v>
      </c>
      <c r="M20" s="22">
        <v>35.75</v>
      </c>
      <c r="N20" s="22"/>
      <c r="O20" s="22"/>
      <c r="P20" s="22"/>
      <c r="Q20" s="22"/>
      <c r="R20" s="23" t="str">
        <f t="shared" si="0"/>
        <v/>
      </c>
      <c r="S20" s="24">
        <f t="shared" si="1"/>
        <v>35.75</v>
      </c>
      <c r="T20" s="25">
        <v>11.625</v>
      </c>
      <c r="U20" s="22" t="str">
        <f t="shared" si="17"/>
        <v/>
      </c>
      <c r="V20" s="22"/>
      <c r="W20" s="26">
        <v>2.25</v>
      </c>
      <c r="X20" s="22"/>
      <c r="Y20" s="22"/>
      <c r="Z20" s="22"/>
      <c r="AA20" s="22"/>
      <c r="AB20" s="22"/>
      <c r="AC20" s="22"/>
      <c r="AD20" s="36"/>
      <c r="AE20" s="22"/>
      <c r="AF20" s="22"/>
      <c r="AG20" s="27"/>
      <c r="AH20" s="28">
        <f t="shared" si="15"/>
        <v>13.875</v>
      </c>
      <c r="AI20" s="38"/>
      <c r="AJ20" s="22"/>
      <c r="AK20" s="22"/>
      <c r="AL20" s="22"/>
      <c r="AM20" s="42"/>
      <c r="AN20" s="30">
        <f t="shared" si="22"/>
        <v>0</v>
      </c>
      <c r="AO20" s="39"/>
      <c r="AP20" s="40"/>
      <c r="AQ20" s="33">
        <f t="shared" si="4"/>
        <v>0</v>
      </c>
      <c r="AR20" s="34">
        <f t="shared" si="5"/>
        <v>49.625</v>
      </c>
      <c r="AS20" s="370">
        <f t="shared" si="6"/>
        <v>5.000000000002558E-3</v>
      </c>
      <c r="AT20" s="355">
        <v>33.583333333333336</v>
      </c>
      <c r="AU20" s="356">
        <f t="shared" si="7"/>
        <v>23.833333333333332</v>
      </c>
      <c r="AV20" s="376">
        <f t="shared" si="8"/>
        <v>0</v>
      </c>
      <c r="AW20" s="358">
        <f t="shared" si="9"/>
        <v>0</v>
      </c>
      <c r="AX20" s="356">
        <f t="shared" si="19"/>
        <v>9.7500000000000036</v>
      </c>
      <c r="AY20" s="359">
        <f t="shared" si="20"/>
        <v>0.70967741935483863</v>
      </c>
      <c r="AZ20" s="360">
        <f t="shared" si="21"/>
        <v>0.29032258064516137</v>
      </c>
      <c r="BA20" s="287">
        <v>1800253</v>
      </c>
      <c r="BB20" s="287">
        <f t="shared" si="14"/>
        <v>36273.483779971786</v>
      </c>
    </row>
    <row r="21" spans="1:54" ht="15.75" thickBot="1" x14ac:dyDescent="0.3">
      <c r="A21" s="17" t="s">
        <v>96</v>
      </c>
      <c r="B21" s="17" t="s">
        <v>97</v>
      </c>
      <c r="C21" s="18" t="s">
        <v>98</v>
      </c>
      <c r="D21" s="18" t="s">
        <v>99</v>
      </c>
      <c r="E21" s="18"/>
      <c r="F21" s="18"/>
      <c r="G21" s="19"/>
      <c r="H21" s="19"/>
      <c r="I21" s="20"/>
      <c r="J21" s="20"/>
      <c r="K21" s="19"/>
      <c r="L21" s="21">
        <v>46.75</v>
      </c>
      <c r="M21" s="22">
        <v>5</v>
      </c>
      <c r="N21" s="22">
        <v>8</v>
      </c>
      <c r="O21" s="22"/>
      <c r="P21" s="22"/>
      <c r="Q21" s="22"/>
      <c r="R21" s="23" t="str">
        <f t="shared" si="0"/>
        <v/>
      </c>
      <c r="S21" s="24">
        <f t="shared" si="1"/>
        <v>13</v>
      </c>
      <c r="T21" s="25">
        <f>IF($C21="",0,VLOOKUP($C21,'[1]Hoja 1'!$C$11:$D$27,2,FALSE)*M21)+IF($D21="",0,VLOOKUP($D21,'[1]Hoja 1'!$C$11:$D$27,2,FALSE)*N21)+IF($F21="",0,VLOOKUP($F21,'[1]Hoja 1'!$C$11:$D$27,2,FALSE)*P21)+IF(R21="",0,R21*0.5)</f>
        <v>6.5</v>
      </c>
      <c r="U21" s="22" t="str">
        <f t="shared" si="17"/>
        <v/>
      </c>
      <c r="V21" s="22"/>
      <c r="W21" s="26">
        <v>2.25</v>
      </c>
      <c r="X21" s="22"/>
      <c r="Y21" s="22"/>
      <c r="Z21" s="22"/>
      <c r="AA21" s="22"/>
      <c r="AB21" s="22"/>
      <c r="AC21" s="22">
        <v>1</v>
      </c>
      <c r="AD21" s="36"/>
      <c r="AE21" s="22"/>
      <c r="AF21" s="22"/>
      <c r="AG21" s="27"/>
      <c r="AH21" s="28">
        <f t="shared" si="15"/>
        <v>9.75</v>
      </c>
      <c r="AI21" s="38"/>
      <c r="AJ21" s="22"/>
      <c r="AK21" s="22"/>
      <c r="AL21" s="22"/>
      <c r="AM21" s="42"/>
      <c r="AN21" s="30">
        <f t="shared" si="22"/>
        <v>0</v>
      </c>
      <c r="AO21" s="39">
        <v>24</v>
      </c>
      <c r="AP21" s="40" t="s">
        <v>100</v>
      </c>
      <c r="AQ21" s="33">
        <f t="shared" si="4"/>
        <v>24</v>
      </c>
      <c r="AR21" s="34">
        <f t="shared" si="5"/>
        <v>46.75</v>
      </c>
      <c r="AS21" s="370">
        <f t="shared" si="6"/>
        <v>0</v>
      </c>
      <c r="AT21" s="355">
        <v>33.216666666666669</v>
      </c>
      <c r="AU21" s="356">
        <f t="shared" si="7"/>
        <v>8.6666666666666661</v>
      </c>
      <c r="AV21" s="357">
        <f t="shared" si="8"/>
        <v>0</v>
      </c>
      <c r="AW21" s="358">
        <f t="shared" si="9"/>
        <v>16.000000000000007</v>
      </c>
      <c r="AX21" s="356">
        <f t="shared" si="19"/>
        <v>8.5499999999999972</v>
      </c>
      <c r="AY21" s="359">
        <f t="shared" si="20"/>
        <v>0.50338818973862554</v>
      </c>
      <c r="AZ21" s="360">
        <f t="shared" si="21"/>
        <v>0.49661181026137463</v>
      </c>
      <c r="BA21" s="287">
        <v>2055834</v>
      </c>
      <c r="BB21" s="287">
        <f t="shared" si="14"/>
        <v>43975.058823529413</v>
      </c>
    </row>
    <row r="22" spans="1:54" ht="15.75" thickBot="1" x14ac:dyDescent="0.3">
      <c r="A22" s="17" t="s">
        <v>101</v>
      </c>
      <c r="B22" s="17" t="s">
        <v>102</v>
      </c>
      <c r="C22" s="18" t="s">
        <v>64</v>
      </c>
      <c r="D22" s="18" t="s">
        <v>56</v>
      </c>
      <c r="E22" s="18"/>
      <c r="F22" s="18"/>
      <c r="G22" s="19" t="s">
        <v>57</v>
      </c>
      <c r="H22" s="19"/>
      <c r="I22" s="20"/>
      <c r="J22" s="20"/>
      <c r="K22" s="19"/>
      <c r="L22" s="21">
        <v>47.45</v>
      </c>
      <c r="M22" s="22">
        <v>19</v>
      </c>
      <c r="N22" s="22">
        <v>3</v>
      </c>
      <c r="O22" s="22"/>
      <c r="P22" s="22"/>
      <c r="Q22" s="22">
        <v>2</v>
      </c>
      <c r="R22" s="23">
        <f t="shared" si="0"/>
        <v>1</v>
      </c>
      <c r="S22" s="24">
        <f t="shared" si="1"/>
        <v>25</v>
      </c>
      <c r="T22" s="25">
        <f>IF($C22="",0,VLOOKUP($C22,'[1]Hoja 1'!$C$11:$D$27,2,FALSE)*M22)+IF($D22="",0,VLOOKUP($D22,'[1]Hoja 1'!$C$11:$D$27,2,FALSE)*N22)+IF($F22="",0,VLOOKUP($F22,'[1]Hoja 1'!$C$11:$D$27,2,FALSE)*P22)+IF(R22="",0,R22*0.5)</f>
        <v>11.5</v>
      </c>
      <c r="U22" s="22">
        <v>5</v>
      </c>
      <c r="V22" s="22"/>
      <c r="W22" s="26">
        <v>2.25</v>
      </c>
      <c r="X22" s="22"/>
      <c r="Y22" s="22"/>
      <c r="Z22" s="22"/>
      <c r="AA22" s="22"/>
      <c r="AB22" s="22">
        <v>2</v>
      </c>
      <c r="AC22" s="22">
        <v>1</v>
      </c>
      <c r="AD22" s="36">
        <v>0.7</v>
      </c>
      <c r="AE22" s="22"/>
      <c r="AF22" s="22"/>
      <c r="AG22" s="27"/>
      <c r="AH22" s="28">
        <f t="shared" si="15"/>
        <v>22.45</v>
      </c>
      <c r="AI22" s="38"/>
      <c r="AJ22" s="22"/>
      <c r="AK22" s="22"/>
      <c r="AL22" s="22"/>
      <c r="AM22" s="42"/>
      <c r="AN22" s="30">
        <f t="shared" si="22"/>
        <v>0</v>
      </c>
      <c r="AO22" s="39"/>
      <c r="AP22" s="40"/>
      <c r="AQ22" s="33">
        <f t="shared" si="4"/>
        <v>0</v>
      </c>
      <c r="AR22" s="34">
        <f t="shared" si="5"/>
        <v>47.45</v>
      </c>
      <c r="AS22" s="370">
        <f t="shared" si="6"/>
        <v>0</v>
      </c>
      <c r="AT22" s="355">
        <v>35.450000000000003</v>
      </c>
      <c r="AU22" s="356">
        <f t="shared" si="7"/>
        <v>18</v>
      </c>
      <c r="AV22" s="357">
        <f t="shared" si="8"/>
        <v>0</v>
      </c>
      <c r="AW22" s="358">
        <f t="shared" si="9"/>
        <v>0</v>
      </c>
      <c r="AX22" s="356">
        <f t="shared" si="19"/>
        <v>17.450000000000003</v>
      </c>
      <c r="AY22" s="359">
        <f t="shared" si="20"/>
        <v>0.50775740479548659</v>
      </c>
      <c r="AZ22" s="360">
        <f t="shared" si="21"/>
        <v>0.49224259520451347</v>
      </c>
      <c r="BA22" s="287">
        <v>2003685</v>
      </c>
      <c r="BB22" s="287">
        <f t="shared" si="14"/>
        <v>42227.291886195992</v>
      </c>
    </row>
    <row r="23" spans="1:54" ht="15.75" thickBot="1" x14ac:dyDescent="0.3">
      <c r="A23" s="17" t="s">
        <v>103</v>
      </c>
      <c r="B23" s="17" t="s">
        <v>104</v>
      </c>
      <c r="C23" s="18" t="s">
        <v>55</v>
      </c>
      <c r="D23" s="18"/>
      <c r="E23" s="18"/>
      <c r="F23" s="18"/>
      <c r="G23" s="19" t="s">
        <v>57</v>
      </c>
      <c r="H23" s="19"/>
      <c r="I23" s="20"/>
      <c r="J23" s="20"/>
      <c r="K23" s="19"/>
      <c r="L23" s="21">
        <v>37.1</v>
      </c>
      <c r="M23" s="22">
        <v>14</v>
      </c>
      <c r="N23" s="22"/>
      <c r="O23" s="22"/>
      <c r="P23" s="22"/>
      <c r="Q23" s="22"/>
      <c r="R23" s="23">
        <f t="shared" si="0"/>
        <v>1</v>
      </c>
      <c r="S23" s="24">
        <f t="shared" si="1"/>
        <v>15</v>
      </c>
      <c r="T23" s="25">
        <f>IF($C23="",0,VLOOKUP($C23,'[1]Hoja 1'!$C$11:$D$27,2,FALSE)*M23)+IF($D23="",0,VLOOKUP($D23,'[1]Hoja 1'!$C$11:$D$27,2,FALSE)*N23)+IF($F23="",0,VLOOKUP($F23,'[1]Hoja 1'!$C$11:$D$27,2,FALSE)*P23)+IF(R23="",0,R23*0.5)</f>
        <v>8.9</v>
      </c>
      <c r="U23" s="22">
        <f>IF(G23="x",4,"")</f>
        <v>4</v>
      </c>
      <c r="V23" s="22">
        <v>4</v>
      </c>
      <c r="W23" s="26">
        <v>2.25</v>
      </c>
      <c r="X23" s="22"/>
      <c r="Y23" s="22"/>
      <c r="Z23" s="22"/>
      <c r="AA23" s="22"/>
      <c r="AB23" s="22">
        <v>2</v>
      </c>
      <c r="AC23" s="22">
        <v>1</v>
      </c>
      <c r="AD23" s="36"/>
      <c r="AE23" s="22"/>
      <c r="AF23" s="22"/>
      <c r="AG23" s="27"/>
      <c r="AH23" s="28">
        <f t="shared" si="15"/>
        <v>22.15</v>
      </c>
      <c r="AI23" s="38"/>
      <c r="AJ23" s="22"/>
      <c r="AK23" s="22"/>
      <c r="AL23" s="22"/>
      <c r="AM23" s="42"/>
      <c r="AN23" s="30">
        <f t="shared" si="22"/>
        <v>0</v>
      </c>
      <c r="AO23" s="39"/>
      <c r="AP23" s="40"/>
      <c r="AQ23" s="33">
        <f t="shared" si="4"/>
        <v>0</v>
      </c>
      <c r="AR23" s="34">
        <f t="shared" si="5"/>
        <v>37.15</v>
      </c>
      <c r="AS23" s="370">
        <f t="shared" si="6"/>
        <v>-4.9999999999997158E-2</v>
      </c>
      <c r="AT23" s="355">
        <v>28.283333333333335</v>
      </c>
      <c r="AU23" s="356">
        <f t="shared" si="7"/>
        <v>11.333333333333334</v>
      </c>
      <c r="AV23" s="357">
        <f t="shared" si="8"/>
        <v>0</v>
      </c>
      <c r="AW23" s="358">
        <f t="shared" si="9"/>
        <v>0</v>
      </c>
      <c r="AX23" s="356">
        <f t="shared" si="19"/>
        <v>16.950000000000003</v>
      </c>
      <c r="AY23" s="359">
        <f t="shared" si="20"/>
        <v>0.4007071302298173</v>
      </c>
      <c r="AZ23" s="360">
        <f t="shared" si="21"/>
        <v>0.5992928697701827</v>
      </c>
      <c r="BA23" s="287">
        <v>1142363</v>
      </c>
      <c r="BB23" s="287">
        <f t="shared" si="14"/>
        <v>30791.455525606467</v>
      </c>
    </row>
    <row r="24" spans="1:54" ht="15.75" thickBot="1" x14ac:dyDescent="0.3">
      <c r="A24" s="17" t="s">
        <v>105</v>
      </c>
      <c r="B24" s="17" t="s">
        <v>106</v>
      </c>
      <c r="C24" s="18" t="s">
        <v>98</v>
      </c>
      <c r="D24" s="18"/>
      <c r="E24" s="18"/>
      <c r="F24" s="18"/>
      <c r="G24" s="19" t="s">
        <v>57</v>
      </c>
      <c r="H24" s="19"/>
      <c r="I24" s="20"/>
      <c r="J24" s="20"/>
      <c r="K24" s="19"/>
      <c r="L24" s="21">
        <v>49.75</v>
      </c>
      <c r="M24" s="22">
        <v>12</v>
      </c>
      <c r="N24" s="22"/>
      <c r="O24" s="22"/>
      <c r="P24" s="22"/>
      <c r="Q24" s="22"/>
      <c r="R24" s="23">
        <f t="shared" si="0"/>
        <v>1</v>
      </c>
      <c r="S24" s="24">
        <f t="shared" si="1"/>
        <v>13</v>
      </c>
      <c r="T24" s="25">
        <f>IF($C24="",0,VLOOKUP($C24,'[1]Hoja 1'!$C$11:$D$27,2,FALSE)*M24)+IF($D24="",0,VLOOKUP($D24,'[1]Hoja 1'!$C$11:$D$27,2,FALSE)*N24)+IF($F24="",0,VLOOKUP($F24,'[1]Hoja 1'!$C$11:$D$27,2,FALSE)*P24)+IF(R24="",0,R24*0.5)</f>
        <v>6.5</v>
      </c>
      <c r="U24" s="22">
        <f>IF(G24="x",4,"")</f>
        <v>4</v>
      </c>
      <c r="V24" s="22">
        <v>4</v>
      </c>
      <c r="W24" s="26">
        <v>2.25</v>
      </c>
      <c r="X24" s="22"/>
      <c r="Y24" s="22"/>
      <c r="Z24" s="22"/>
      <c r="AA24" s="22"/>
      <c r="AB24" s="22"/>
      <c r="AC24" s="22"/>
      <c r="AD24" s="36"/>
      <c r="AE24" s="22"/>
      <c r="AF24" s="22"/>
      <c r="AG24" s="27"/>
      <c r="AH24" s="28">
        <f t="shared" si="15"/>
        <v>16.75</v>
      </c>
      <c r="AI24" s="38"/>
      <c r="AJ24" s="22"/>
      <c r="AK24" s="22"/>
      <c r="AL24" s="22"/>
      <c r="AM24" s="42"/>
      <c r="AN24" s="30">
        <f t="shared" si="22"/>
        <v>0</v>
      </c>
      <c r="AO24" s="39">
        <v>20</v>
      </c>
      <c r="AP24" s="40" t="s">
        <v>100</v>
      </c>
      <c r="AQ24" s="33">
        <f t="shared" si="4"/>
        <v>20</v>
      </c>
      <c r="AR24" s="34">
        <f t="shared" si="5"/>
        <v>49.75</v>
      </c>
      <c r="AS24" s="370">
        <f t="shared" si="6"/>
        <v>0</v>
      </c>
      <c r="AT24" s="355">
        <v>35.216666666666669</v>
      </c>
      <c r="AU24" s="356">
        <f t="shared" si="7"/>
        <v>8.6666666666666661</v>
      </c>
      <c r="AV24" s="357">
        <f t="shared" si="8"/>
        <v>0</v>
      </c>
      <c r="AW24" s="358">
        <f t="shared" si="9"/>
        <v>13.333333333333339</v>
      </c>
      <c r="AX24" s="356">
        <f t="shared" si="19"/>
        <v>13.216666666666665</v>
      </c>
      <c r="AY24" s="359">
        <f t="shared" si="20"/>
        <v>0.396039603960396</v>
      </c>
      <c r="AZ24" s="360">
        <f t="shared" si="21"/>
        <v>0.60396039603960394</v>
      </c>
      <c r="BA24" s="287">
        <v>2174368</v>
      </c>
      <c r="BB24" s="287">
        <f t="shared" si="14"/>
        <v>43705.889447236179</v>
      </c>
    </row>
    <row r="25" spans="1:54" ht="15.75" thickBot="1" x14ac:dyDescent="0.3">
      <c r="A25" s="17" t="s">
        <v>107</v>
      </c>
      <c r="B25" s="17" t="s">
        <v>108</v>
      </c>
      <c r="C25" s="18" t="s">
        <v>109</v>
      </c>
      <c r="D25" s="18"/>
      <c r="E25" s="18"/>
      <c r="F25" s="18"/>
      <c r="G25" s="19" t="s">
        <v>57</v>
      </c>
      <c r="H25" s="19"/>
      <c r="I25" s="20"/>
      <c r="J25" s="20"/>
      <c r="K25" s="19"/>
      <c r="L25" s="21">
        <v>40.75</v>
      </c>
      <c r="M25" s="22">
        <v>18</v>
      </c>
      <c r="N25" s="22"/>
      <c r="O25" s="22"/>
      <c r="P25" s="22"/>
      <c r="Q25" s="22"/>
      <c r="R25" s="23">
        <f t="shared" si="0"/>
        <v>1</v>
      </c>
      <c r="S25" s="24">
        <f t="shared" si="1"/>
        <v>19</v>
      </c>
      <c r="T25" s="25">
        <f>IF($C25="",0,VLOOKUP($C25,'[1]Hoja 1'!$C$11:$D$27,2,FALSE)*M25)+IF($D25="",0,VLOOKUP($D25,'[1]Hoja 1'!$C$11:$D$27,2,FALSE)*N25)+IF($F25="",0,VLOOKUP($F25,'[1]Hoja 1'!$C$11:$D$27,2,FALSE)*P25)+IF(R25="",0,R25*0.5)</f>
        <v>9.5</v>
      </c>
      <c r="U25" s="22">
        <f>IF(G25="x",4,"")</f>
        <v>4</v>
      </c>
      <c r="V25" s="22">
        <v>4</v>
      </c>
      <c r="W25" s="26">
        <v>2.25</v>
      </c>
      <c r="X25" s="22"/>
      <c r="Y25" s="22"/>
      <c r="Z25" s="22"/>
      <c r="AA25" s="22"/>
      <c r="AB25" s="22"/>
      <c r="AC25" s="22">
        <v>2</v>
      </c>
      <c r="AD25" s="36"/>
      <c r="AE25" s="22"/>
      <c r="AF25" s="22"/>
      <c r="AG25" s="27"/>
      <c r="AH25" s="28">
        <f t="shared" si="15"/>
        <v>21.75</v>
      </c>
      <c r="AI25" s="38"/>
      <c r="AJ25" s="22"/>
      <c r="AK25" s="22"/>
      <c r="AL25" s="22"/>
      <c r="AM25" s="42"/>
      <c r="AN25" s="30">
        <f t="shared" si="22"/>
        <v>0</v>
      </c>
      <c r="AO25" s="39"/>
      <c r="AP25" s="40"/>
      <c r="AQ25" s="33">
        <f t="shared" si="4"/>
        <v>0</v>
      </c>
      <c r="AR25" s="34">
        <f t="shared" si="5"/>
        <v>40.75</v>
      </c>
      <c r="AS25" s="370">
        <f t="shared" si="6"/>
        <v>0</v>
      </c>
      <c r="AT25" s="355">
        <v>32.31666666666667</v>
      </c>
      <c r="AU25" s="356">
        <f t="shared" si="7"/>
        <v>12.666666666666666</v>
      </c>
      <c r="AV25" s="357">
        <f t="shared" si="8"/>
        <v>0</v>
      </c>
      <c r="AW25" s="358">
        <f t="shared" si="9"/>
        <v>0</v>
      </c>
      <c r="AX25" s="356">
        <f t="shared" si="19"/>
        <v>19.650000000000006</v>
      </c>
      <c r="AY25" s="359">
        <f t="shared" si="20"/>
        <v>0.39195461578133051</v>
      </c>
      <c r="AZ25" s="360">
        <f t="shared" si="21"/>
        <v>0.60804538421866949</v>
      </c>
      <c r="BA25" s="287">
        <v>1467000</v>
      </c>
      <c r="BB25" s="287">
        <f t="shared" si="14"/>
        <v>36000</v>
      </c>
    </row>
    <row r="26" spans="1:54" ht="15.75" thickBot="1" x14ac:dyDescent="0.3">
      <c r="A26" s="17" t="s">
        <v>110</v>
      </c>
      <c r="B26" s="17" t="s">
        <v>111</v>
      </c>
      <c r="C26" s="18" t="s">
        <v>74</v>
      </c>
      <c r="D26" s="18"/>
      <c r="E26" s="18"/>
      <c r="F26" s="18"/>
      <c r="G26" s="19" t="s">
        <v>57</v>
      </c>
      <c r="H26" s="19" t="s">
        <v>57</v>
      </c>
      <c r="I26" s="20"/>
      <c r="J26" s="20"/>
      <c r="K26" s="19"/>
      <c r="L26" s="21">
        <v>32.700000000000003</v>
      </c>
      <c r="M26" s="22">
        <v>10</v>
      </c>
      <c r="N26" s="22"/>
      <c r="O26" s="22"/>
      <c r="P26" s="22"/>
      <c r="Q26" s="22"/>
      <c r="R26" s="23">
        <f t="shared" si="0"/>
        <v>1</v>
      </c>
      <c r="S26" s="24">
        <f t="shared" si="1"/>
        <v>11</v>
      </c>
      <c r="T26" s="25">
        <f>IF($C26="",0,VLOOKUP($C26,'[1]Hoja 1'!$C$11:$D$27,2,FALSE)*M26)+IF($D26="",0,VLOOKUP($D26,'[1]Hoja 1'!$C$11:$D$27,2,FALSE)*N26)+IF($F26="",0,VLOOKUP($F26,'[1]Hoja 1'!$C$11:$D$27,2,FALSE)*P26)+IF(R26="",0,R26*0.5)</f>
        <v>5.5</v>
      </c>
      <c r="U26" s="22">
        <f>IF(G26="x",4,"")</f>
        <v>4</v>
      </c>
      <c r="V26" s="22">
        <v>4</v>
      </c>
      <c r="W26" s="26">
        <v>2.25</v>
      </c>
      <c r="X26" s="22"/>
      <c r="Y26" s="22"/>
      <c r="Z26" s="22"/>
      <c r="AA26" s="22"/>
      <c r="AB26" s="22">
        <v>2</v>
      </c>
      <c r="AC26" s="22"/>
      <c r="AD26" s="36"/>
      <c r="AE26" s="22"/>
      <c r="AF26" s="22"/>
      <c r="AG26" s="27"/>
      <c r="AH26" s="28">
        <f t="shared" si="15"/>
        <v>17.75</v>
      </c>
      <c r="AI26" s="38"/>
      <c r="AJ26" s="22">
        <v>4</v>
      </c>
      <c r="AK26" s="22"/>
      <c r="AL26" s="22"/>
      <c r="AM26" s="42"/>
      <c r="AN26" s="30">
        <f t="shared" si="22"/>
        <v>4</v>
      </c>
      <c r="AO26" s="39"/>
      <c r="AP26" s="40"/>
      <c r="AQ26" s="33">
        <f t="shared" si="4"/>
        <v>0</v>
      </c>
      <c r="AR26" s="34">
        <f t="shared" si="5"/>
        <v>32.75</v>
      </c>
      <c r="AS26" s="370">
        <f t="shared" si="6"/>
        <v>-4.9999999999997158E-2</v>
      </c>
      <c r="AT26" s="355">
        <v>23.216666666666665</v>
      </c>
      <c r="AU26" s="356">
        <f t="shared" si="7"/>
        <v>8.6666666666666661</v>
      </c>
      <c r="AV26" s="357">
        <f t="shared" si="8"/>
        <v>2.6666666666666665</v>
      </c>
      <c r="AW26" s="358">
        <f t="shared" si="9"/>
        <v>0</v>
      </c>
      <c r="AX26" s="356">
        <f t="shared" si="19"/>
        <v>11.883333333333333</v>
      </c>
      <c r="AY26" s="359">
        <f t="shared" si="20"/>
        <v>0.42173560421735606</v>
      </c>
      <c r="AZ26" s="360">
        <f t="shared" si="21"/>
        <v>0.57826439578264399</v>
      </c>
      <c r="BA26" s="287">
        <v>1138595</v>
      </c>
      <c r="BB26" s="287">
        <f t="shared" si="14"/>
        <v>34819.418960244642</v>
      </c>
    </row>
    <row r="27" spans="1:54" ht="15.75" thickBot="1" x14ac:dyDescent="0.3">
      <c r="A27" s="17" t="s">
        <v>112</v>
      </c>
      <c r="B27" s="17" t="s">
        <v>113</v>
      </c>
      <c r="C27" s="18" t="s">
        <v>114</v>
      </c>
      <c r="D27" s="18"/>
      <c r="E27" s="18"/>
      <c r="F27" s="18"/>
      <c r="G27" s="19" t="s">
        <v>57</v>
      </c>
      <c r="H27" s="19"/>
      <c r="I27" s="20"/>
      <c r="J27" s="20"/>
      <c r="K27" s="19"/>
      <c r="L27" s="21">
        <v>50.85</v>
      </c>
      <c r="M27" s="22">
        <v>17</v>
      </c>
      <c r="N27" s="22"/>
      <c r="O27" s="22"/>
      <c r="P27" s="22"/>
      <c r="Q27" s="22">
        <v>10</v>
      </c>
      <c r="R27" s="23">
        <f t="shared" si="0"/>
        <v>1</v>
      </c>
      <c r="S27" s="24">
        <f t="shared" si="1"/>
        <v>28</v>
      </c>
      <c r="T27" s="25">
        <f>IF($C27="",0,VLOOKUP($C27,'[1]Hoja 1'!$C$11:$D$27,2,FALSE)*M27)+IF($D27="",0,VLOOKUP($D27,'[1]Hoja 1'!$C$11:$D$27,2,FALSE)*N27)+IF($F27="",0,VLOOKUP($F27,'[1]Hoja 1'!$C$11:$D$27,2,FALSE)*P27)+IF(R27="",0,R27*0.5)</f>
        <v>9</v>
      </c>
      <c r="U27" s="22">
        <v>5</v>
      </c>
      <c r="V27" s="22"/>
      <c r="W27" s="26">
        <v>2.25</v>
      </c>
      <c r="X27" s="22"/>
      <c r="Y27" s="22"/>
      <c r="Z27" s="22"/>
      <c r="AA27" s="22"/>
      <c r="AB27" s="22">
        <v>2</v>
      </c>
      <c r="AC27" s="22">
        <v>2</v>
      </c>
      <c r="AD27" s="36">
        <v>1.1000000000000001</v>
      </c>
      <c r="AE27" s="22">
        <v>1.5</v>
      </c>
      <c r="AF27" s="22"/>
      <c r="AG27" s="27" t="s">
        <v>175</v>
      </c>
      <c r="AH27" s="28">
        <f>SUM(T27:AG27)</f>
        <v>22.85</v>
      </c>
      <c r="AI27" s="38"/>
      <c r="AJ27" s="22"/>
      <c r="AK27" s="22"/>
      <c r="AL27" s="22"/>
      <c r="AM27" s="42"/>
      <c r="AN27" s="30">
        <f t="shared" si="22"/>
        <v>0</v>
      </c>
      <c r="AO27" s="39"/>
      <c r="AP27" s="40"/>
      <c r="AQ27" s="33">
        <f t="shared" si="4"/>
        <v>0</v>
      </c>
      <c r="AR27" s="34">
        <f t="shared" si="5"/>
        <v>50.85</v>
      </c>
      <c r="AS27" s="370">
        <f t="shared" si="6"/>
        <v>0</v>
      </c>
      <c r="AT27" s="355">
        <v>35.5</v>
      </c>
      <c r="AU27" s="356">
        <f t="shared" si="7"/>
        <v>20</v>
      </c>
      <c r="AV27" s="357">
        <f t="shared" si="8"/>
        <v>0</v>
      </c>
      <c r="AW27" s="358">
        <f t="shared" si="9"/>
        <v>0</v>
      </c>
      <c r="AX27" s="356">
        <f t="shared" si="19"/>
        <v>15.5</v>
      </c>
      <c r="AY27" s="359">
        <f t="shared" si="20"/>
        <v>0.56338028169014087</v>
      </c>
      <c r="AZ27" s="360">
        <f t="shared" si="21"/>
        <v>0.43661971830985913</v>
      </c>
      <c r="BA27" s="287">
        <v>1731698</v>
      </c>
      <c r="BB27" s="287">
        <f t="shared" si="14"/>
        <v>34055.024582104226</v>
      </c>
    </row>
    <row r="28" spans="1:54" ht="15.75" thickBot="1" x14ac:dyDescent="0.3">
      <c r="A28" s="17" t="s">
        <v>115</v>
      </c>
      <c r="B28" s="17" t="s">
        <v>116</v>
      </c>
      <c r="C28" s="18" t="s">
        <v>47</v>
      </c>
      <c r="D28" s="18"/>
      <c r="E28" s="18"/>
      <c r="F28" s="18"/>
      <c r="G28" s="19"/>
      <c r="H28" s="19"/>
      <c r="I28" s="20"/>
      <c r="J28" s="20"/>
      <c r="K28" s="19"/>
      <c r="L28" s="21">
        <v>37.24</v>
      </c>
      <c r="M28" s="22">
        <v>16.66</v>
      </c>
      <c r="N28" s="22"/>
      <c r="O28" s="22"/>
      <c r="P28" s="22"/>
      <c r="Q28" s="22"/>
      <c r="R28" s="23" t="str">
        <f t="shared" si="0"/>
        <v/>
      </c>
      <c r="S28" s="24">
        <f t="shared" si="1"/>
        <v>16.66</v>
      </c>
      <c r="T28" s="25">
        <f>IF($C28="",0,VLOOKUP($C28,'[1]Hoja 1'!$C$11:$D$27,2,FALSE)*M28)+IF($D28="",0,VLOOKUP($D28,'[1]Hoja 1'!$C$11:$D$27,2,FALSE)*N28)+IF($F28="",0,VLOOKUP($F28,'[1]Hoja 1'!$C$11:$D$27,2,FALSE)*P28)+IF(R28="",0,R28*0.5)</f>
        <v>8.33</v>
      </c>
      <c r="U28" s="22" t="str">
        <f>IF(G28="x",4,"")</f>
        <v/>
      </c>
      <c r="V28" s="22"/>
      <c r="W28" s="26">
        <v>2.25</v>
      </c>
      <c r="X28" s="22"/>
      <c r="Y28" s="22"/>
      <c r="Z28" s="22">
        <v>7</v>
      </c>
      <c r="AA28" s="22"/>
      <c r="AB28" s="22">
        <v>3</v>
      </c>
      <c r="AC28" s="22"/>
      <c r="AD28" s="36"/>
      <c r="AE28" s="22"/>
      <c r="AF28" s="22"/>
      <c r="AG28" s="27"/>
      <c r="AH28" s="28">
        <f t="shared" ref="AH28" si="23">SUM(T28:AG28)</f>
        <v>20.58</v>
      </c>
      <c r="AI28" s="38"/>
      <c r="AJ28" s="22"/>
      <c r="AK28" s="22"/>
      <c r="AL28" s="22"/>
      <c r="AM28" s="42"/>
      <c r="AN28" s="30">
        <f t="shared" si="22"/>
        <v>0</v>
      </c>
      <c r="AO28" s="39"/>
      <c r="AP28" s="40"/>
      <c r="AQ28" s="33">
        <f t="shared" si="4"/>
        <v>0</v>
      </c>
      <c r="AR28" s="34">
        <f t="shared" si="5"/>
        <v>37.239999999999995</v>
      </c>
      <c r="AS28" s="370">
        <f t="shared" si="6"/>
        <v>0</v>
      </c>
      <c r="AT28" s="355">
        <v>26.326666666666668</v>
      </c>
      <c r="AU28" s="356">
        <f t="shared" si="7"/>
        <v>13.106666666666666</v>
      </c>
      <c r="AV28" s="357">
        <f t="shared" si="8"/>
        <v>0</v>
      </c>
      <c r="AW28" s="358">
        <f t="shared" si="9"/>
        <v>0</v>
      </c>
      <c r="AX28" s="356">
        <f t="shared" si="19"/>
        <v>13.220000000000002</v>
      </c>
      <c r="AY28" s="359">
        <f t="shared" si="20"/>
        <v>0.49784755634337802</v>
      </c>
      <c r="AZ28" s="360">
        <f t="shared" si="21"/>
        <v>0.50215244365662204</v>
      </c>
      <c r="BA28" s="287">
        <v>1788894</v>
      </c>
      <c r="BB28" s="287">
        <f t="shared" si="14"/>
        <v>48036.895810955961</v>
      </c>
    </row>
    <row r="29" spans="1:54" ht="15.75" thickBot="1" x14ac:dyDescent="0.3">
      <c r="A29" s="17" t="s">
        <v>117</v>
      </c>
      <c r="B29" s="17" t="s">
        <v>118</v>
      </c>
      <c r="C29" s="18" t="s">
        <v>99</v>
      </c>
      <c r="D29" s="18"/>
      <c r="E29" s="18"/>
      <c r="F29" s="18"/>
      <c r="G29" s="19" t="s">
        <v>57</v>
      </c>
      <c r="H29" s="19"/>
      <c r="I29" s="20"/>
      <c r="J29" s="20"/>
      <c r="K29" s="19"/>
      <c r="L29" s="21">
        <v>27.75</v>
      </c>
      <c r="M29" s="22">
        <v>2</v>
      </c>
      <c r="N29" s="22"/>
      <c r="O29" s="22"/>
      <c r="P29" s="22"/>
      <c r="Q29" s="22"/>
      <c r="R29" s="23">
        <f t="shared" si="0"/>
        <v>1</v>
      </c>
      <c r="S29" s="24">
        <f t="shared" si="1"/>
        <v>3</v>
      </c>
      <c r="T29" s="25">
        <f>IF($C29="",0,VLOOKUP($C29,'[1]Hoja 1'!$C$11:$D$27,2,FALSE)*M29)+IF($D29="",0,VLOOKUP($D29,'[1]Hoja 1'!$C$11:$D$27,2,FALSE)*N29)+IF($F29="",0,VLOOKUP($F29,'[1]Hoja 1'!$C$11:$D$27,2,FALSE)*P29)+IF(R29="",0,R29*0.5)</f>
        <v>1.5</v>
      </c>
      <c r="U29" s="22">
        <f>IF(G29="x",4,"")</f>
        <v>4</v>
      </c>
      <c r="V29" s="22">
        <v>4</v>
      </c>
      <c r="W29" s="26">
        <v>2.25</v>
      </c>
      <c r="X29" s="22"/>
      <c r="Y29" s="22"/>
      <c r="Z29" s="22"/>
      <c r="AA29" s="22"/>
      <c r="AB29" s="22">
        <v>2</v>
      </c>
      <c r="AC29" s="22"/>
      <c r="AD29" s="36"/>
      <c r="AE29" s="22"/>
      <c r="AF29" s="22"/>
      <c r="AG29" s="27"/>
      <c r="AH29" s="28">
        <f t="shared" ref="AH29:AH31" si="24">SUM(T29:AF29)</f>
        <v>13.75</v>
      </c>
      <c r="AI29" s="38"/>
      <c r="AJ29" s="22"/>
      <c r="AK29" s="22"/>
      <c r="AL29" s="22"/>
      <c r="AM29" s="42"/>
      <c r="AN29" s="30">
        <f t="shared" si="22"/>
        <v>0</v>
      </c>
      <c r="AO29" s="39">
        <v>11</v>
      </c>
      <c r="AP29" s="40" t="s">
        <v>119</v>
      </c>
      <c r="AQ29" s="33">
        <f t="shared" si="4"/>
        <v>11</v>
      </c>
      <c r="AR29" s="34">
        <f t="shared" si="5"/>
        <v>27.75</v>
      </c>
      <c r="AS29" s="370">
        <f t="shared" si="6"/>
        <v>0</v>
      </c>
      <c r="AT29" s="355">
        <v>17.083333333333332</v>
      </c>
      <c r="AU29" s="356">
        <f t="shared" si="7"/>
        <v>3.3333333333333335</v>
      </c>
      <c r="AV29" s="357">
        <f t="shared" si="8"/>
        <v>0</v>
      </c>
      <c r="AW29" s="358">
        <f t="shared" si="9"/>
        <v>7.3333333333333366</v>
      </c>
      <c r="AX29" s="356">
        <f t="shared" si="19"/>
        <v>6.4166666666666616</v>
      </c>
      <c r="AY29" s="359">
        <f t="shared" si="20"/>
        <v>0.34188034188034211</v>
      </c>
      <c r="AZ29" s="360">
        <f t="shared" si="21"/>
        <v>0.658119658119658</v>
      </c>
      <c r="BA29" s="287">
        <v>811265</v>
      </c>
      <c r="BB29" s="287">
        <f t="shared" si="14"/>
        <v>29234.774774774774</v>
      </c>
    </row>
    <row r="30" spans="1:54" ht="15.75" thickBot="1" x14ac:dyDescent="0.3">
      <c r="A30" s="17" t="s">
        <v>120</v>
      </c>
      <c r="B30" s="17" t="s">
        <v>121</v>
      </c>
      <c r="C30" s="18" t="s">
        <v>114</v>
      </c>
      <c r="D30" s="18"/>
      <c r="E30" s="18"/>
      <c r="F30" s="18"/>
      <c r="G30" s="19" t="s">
        <v>57</v>
      </c>
      <c r="H30" s="19"/>
      <c r="I30" s="20"/>
      <c r="J30" s="20"/>
      <c r="K30" s="19"/>
      <c r="L30" s="21">
        <v>39.049999999999997</v>
      </c>
      <c r="M30" s="22">
        <v>13</v>
      </c>
      <c r="N30" s="22"/>
      <c r="O30" s="22"/>
      <c r="P30" s="22"/>
      <c r="Q30" s="22">
        <v>6</v>
      </c>
      <c r="R30" s="23">
        <f t="shared" si="0"/>
        <v>1</v>
      </c>
      <c r="S30" s="24">
        <f t="shared" si="1"/>
        <v>20</v>
      </c>
      <c r="T30" s="25">
        <f>IF($C30="",0,VLOOKUP($C30,'[1]Hoja 1'!$C$11:$D$27,2,FALSE)*M30)+IF($D30="",0,VLOOKUP($D30,'[1]Hoja 1'!$C$11:$D$27,2,FALSE)*N30)+IF($F30="",0,VLOOKUP($F30,'[1]Hoja 1'!$C$11:$D$27,2,FALSE)*P30)+IF(R30="",0,R30*0.5)</f>
        <v>7</v>
      </c>
      <c r="U30" s="22">
        <v>5</v>
      </c>
      <c r="V30" s="22"/>
      <c r="W30" s="26">
        <v>2.25</v>
      </c>
      <c r="X30" s="22"/>
      <c r="Y30" s="22"/>
      <c r="Z30" s="22"/>
      <c r="AA30" s="22"/>
      <c r="AB30" s="22">
        <v>3</v>
      </c>
      <c r="AC30" s="22">
        <v>1</v>
      </c>
      <c r="AD30" s="36">
        <v>0.8</v>
      </c>
      <c r="AE30" s="22"/>
      <c r="AF30" s="22"/>
      <c r="AG30" s="27"/>
      <c r="AH30" s="28">
        <f t="shared" si="24"/>
        <v>19.05</v>
      </c>
      <c r="AI30" s="38"/>
      <c r="AJ30" s="22"/>
      <c r="AK30" s="22"/>
      <c r="AL30" s="22"/>
      <c r="AM30" s="42"/>
      <c r="AN30" s="30">
        <f t="shared" si="22"/>
        <v>0</v>
      </c>
      <c r="AO30" s="39"/>
      <c r="AP30" s="40"/>
      <c r="AQ30" s="33">
        <f t="shared" si="4"/>
        <v>0</v>
      </c>
      <c r="AR30" s="34">
        <f t="shared" si="5"/>
        <v>39.049999999999997</v>
      </c>
      <c r="AS30" s="370">
        <f t="shared" si="6"/>
        <v>0</v>
      </c>
      <c r="AT30" s="355">
        <v>28.383333333333333</v>
      </c>
      <c r="AU30" s="356">
        <f t="shared" si="7"/>
        <v>15.333333333333334</v>
      </c>
      <c r="AV30" s="357">
        <f t="shared" si="8"/>
        <v>0</v>
      </c>
      <c r="AW30" s="358">
        <f t="shared" si="9"/>
        <v>0</v>
      </c>
      <c r="AX30" s="356">
        <f t="shared" si="19"/>
        <v>13.049999999999999</v>
      </c>
      <c r="AY30" s="359">
        <f t="shared" si="20"/>
        <v>0.54022313564298297</v>
      </c>
      <c r="AZ30" s="360">
        <f t="shared" si="21"/>
        <v>0.45977686435701698</v>
      </c>
      <c r="BA30" s="287">
        <v>1216798</v>
      </c>
      <c r="BB30" s="287">
        <f t="shared" si="14"/>
        <v>31160.000000000004</v>
      </c>
    </row>
    <row r="31" spans="1:54" ht="15.75" thickBot="1" x14ac:dyDescent="0.3">
      <c r="A31" s="17" t="s">
        <v>122</v>
      </c>
      <c r="B31" s="17" t="s">
        <v>123</v>
      </c>
      <c r="C31" s="18" t="s">
        <v>109</v>
      </c>
      <c r="D31" s="18"/>
      <c r="E31" s="18"/>
      <c r="F31" s="18"/>
      <c r="G31" s="19" t="s">
        <v>57</v>
      </c>
      <c r="H31" s="19"/>
      <c r="I31" s="20"/>
      <c r="J31" s="20"/>
      <c r="K31" s="19"/>
      <c r="L31" s="21">
        <v>46.75</v>
      </c>
      <c r="M31" s="22">
        <v>20</v>
      </c>
      <c r="N31" s="22"/>
      <c r="O31" s="22"/>
      <c r="P31" s="22"/>
      <c r="Q31" s="22"/>
      <c r="R31" s="23">
        <f t="shared" si="0"/>
        <v>1</v>
      </c>
      <c r="S31" s="24">
        <f t="shared" si="1"/>
        <v>21</v>
      </c>
      <c r="T31" s="25">
        <f>IF($C31="",0,VLOOKUP($C31,'[1]Hoja 1'!$C$11:$D$27,2,FALSE)*M31)+IF($D31="",0,VLOOKUP($D31,'[1]Hoja 1'!$C$11:$D$27,2,FALSE)*N31)+IF($F31="",0,VLOOKUP($F31,'[1]Hoja 1'!$C$11:$D$27,2,FALSE)*P31)+IF(R31="",0,R31*0.5)</f>
        <v>10.5</v>
      </c>
      <c r="U31" s="22">
        <f>IF(G31="x",4,"")</f>
        <v>4</v>
      </c>
      <c r="V31" s="22">
        <v>4</v>
      </c>
      <c r="W31" s="26">
        <v>2.25</v>
      </c>
      <c r="X31" s="22"/>
      <c r="Y31" s="22"/>
      <c r="Z31" s="22"/>
      <c r="AA31" s="22"/>
      <c r="AB31" s="22">
        <v>3</v>
      </c>
      <c r="AC31" s="22">
        <v>1</v>
      </c>
      <c r="AD31" s="36">
        <v>1</v>
      </c>
      <c r="AE31" s="22"/>
      <c r="AF31" s="22"/>
      <c r="AG31" s="27"/>
      <c r="AH31" s="28">
        <f t="shared" si="24"/>
        <v>25.75</v>
      </c>
      <c r="AI31" s="38"/>
      <c r="AJ31" s="22"/>
      <c r="AK31" s="22"/>
      <c r="AL31" s="22"/>
      <c r="AM31" s="42"/>
      <c r="AN31" s="30">
        <f t="shared" si="22"/>
        <v>0</v>
      </c>
      <c r="AO31" s="39"/>
      <c r="AP31" s="40"/>
      <c r="AQ31" s="33">
        <f t="shared" si="4"/>
        <v>0</v>
      </c>
      <c r="AR31" s="34">
        <f t="shared" si="5"/>
        <v>46.75</v>
      </c>
      <c r="AS31" s="370">
        <f t="shared" si="6"/>
        <v>0</v>
      </c>
      <c r="AT31" s="355">
        <v>34.4</v>
      </c>
      <c r="AU31" s="356">
        <f t="shared" si="7"/>
        <v>16</v>
      </c>
      <c r="AV31" s="357">
        <f t="shared" si="8"/>
        <v>0</v>
      </c>
      <c r="AW31" s="358">
        <f t="shared" si="9"/>
        <v>0</v>
      </c>
      <c r="AX31" s="356">
        <f t="shared" si="19"/>
        <v>18.399999999999999</v>
      </c>
      <c r="AY31" s="359">
        <f t="shared" si="20"/>
        <v>0.46511627906976744</v>
      </c>
      <c r="AZ31" s="360">
        <f t="shared" si="21"/>
        <v>0.53488372093023251</v>
      </c>
      <c r="BA31" s="287">
        <v>1796525</v>
      </c>
      <c r="BB31" s="287">
        <f t="shared" si="14"/>
        <v>38428.342245989305</v>
      </c>
    </row>
    <row r="32" spans="1:54" ht="15.75" thickBot="1" x14ac:dyDescent="0.3">
      <c r="A32" s="17" t="s">
        <v>124</v>
      </c>
      <c r="B32" s="17" t="s">
        <v>125</v>
      </c>
      <c r="C32" s="18" t="s">
        <v>126</v>
      </c>
      <c r="D32" s="18"/>
      <c r="E32" s="18"/>
      <c r="F32" s="18"/>
      <c r="G32" s="19" t="s">
        <v>57</v>
      </c>
      <c r="H32" s="19"/>
      <c r="I32" s="20"/>
      <c r="J32" s="20"/>
      <c r="K32" s="19"/>
      <c r="L32" s="21">
        <v>48</v>
      </c>
      <c r="M32" s="22">
        <v>14</v>
      </c>
      <c r="N32" s="22"/>
      <c r="O32" s="22"/>
      <c r="P32" s="22"/>
      <c r="Q32" s="22"/>
      <c r="R32" s="23">
        <f t="shared" si="0"/>
        <v>1</v>
      </c>
      <c r="S32" s="24">
        <f t="shared" si="1"/>
        <v>15</v>
      </c>
      <c r="T32" s="25">
        <f>IF($C32="",0,VLOOKUP($C32,'[1]Hoja 1'!$C$11:$D$27,2,FALSE)*M32)+IF($D32="",0,VLOOKUP($D32,'[1]Hoja 1'!$C$11:$D$27,2,FALSE)*N32)+IF($F32="",0,VLOOKUP($F32,'[1]Hoja 1'!$C$11:$D$27,2,FALSE)*P32)+IF(R32="",0,R32*0.5)</f>
        <v>7.5</v>
      </c>
      <c r="U32" s="22">
        <f>IF(G32="x",4,"")</f>
        <v>4</v>
      </c>
      <c r="V32" s="22">
        <v>4</v>
      </c>
      <c r="W32" s="26">
        <v>1.5</v>
      </c>
      <c r="X32" s="22"/>
      <c r="Y32" s="22"/>
      <c r="Z32" s="22"/>
      <c r="AA32" s="22"/>
      <c r="AB32" s="22">
        <v>2</v>
      </c>
      <c r="AC32" s="22"/>
      <c r="AD32" s="36"/>
      <c r="AE32" s="22"/>
      <c r="AF32" s="22">
        <v>14</v>
      </c>
      <c r="AG32" s="27" t="s">
        <v>127</v>
      </c>
      <c r="AH32" s="28">
        <f>SUM(T32:AG32)</f>
        <v>33</v>
      </c>
      <c r="AI32" s="38"/>
      <c r="AJ32" s="22"/>
      <c r="AK32" s="22"/>
      <c r="AL32" s="22"/>
      <c r="AM32" s="42"/>
      <c r="AN32" s="30">
        <f>SUM(AI32:AM32)</f>
        <v>0</v>
      </c>
      <c r="AO32" s="39"/>
      <c r="AP32" s="40"/>
      <c r="AQ32" s="33">
        <f t="shared" si="4"/>
        <v>0</v>
      </c>
      <c r="AR32" s="34">
        <f t="shared" si="5"/>
        <v>48</v>
      </c>
      <c r="AS32" s="370">
        <f t="shared" si="6"/>
        <v>0</v>
      </c>
      <c r="AT32" s="355">
        <v>35.283333333333331</v>
      </c>
      <c r="AU32" s="356">
        <f t="shared" si="7"/>
        <v>11.333333333333334</v>
      </c>
      <c r="AV32" s="357">
        <f t="shared" si="8"/>
        <v>0</v>
      </c>
      <c r="AW32" s="358">
        <f t="shared" si="9"/>
        <v>0</v>
      </c>
      <c r="AX32" s="356">
        <f t="shared" si="19"/>
        <v>23.949999999999996</v>
      </c>
      <c r="AY32" s="359">
        <f t="shared" si="20"/>
        <v>0.32120925838450642</v>
      </c>
      <c r="AZ32" s="360">
        <f t="shared" si="21"/>
        <v>0.67879074161549358</v>
      </c>
      <c r="BA32" s="287">
        <v>2361600</v>
      </c>
      <c r="BB32" s="287">
        <f t="shared" si="14"/>
        <v>49200</v>
      </c>
    </row>
    <row r="33" spans="1:54" ht="15.75" thickBot="1" x14ac:dyDescent="0.3">
      <c r="A33" s="17" t="s">
        <v>128</v>
      </c>
      <c r="B33" s="17" t="s">
        <v>129</v>
      </c>
      <c r="C33" s="18" t="s">
        <v>64</v>
      </c>
      <c r="D33" s="18"/>
      <c r="E33" s="18"/>
      <c r="F33" s="18"/>
      <c r="G33" s="19" t="s">
        <v>57</v>
      </c>
      <c r="H33" s="19"/>
      <c r="I33" s="20"/>
      <c r="J33" s="20"/>
      <c r="K33" s="19"/>
      <c r="L33" s="21">
        <v>48.75</v>
      </c>
      <c r="M33" s="22">
        <v>22</v>
      </c>
      <c r="N33" s="22"/>
      <c r="O33" s="22"/>
      <c r="P33" s="22"/>
      <c r="Q33" s="22">
        <v>4</v>
      </c>
      <c r="R33" s="23">
        <f t="shared" si="0"/>
        <v>1</v>
      </c>
      <c r="S33" s="24">
        <f t="shared" si="1"/>
        <v>27</v>
      </c>
      <c r="T33" s="25">
        <f>IF($C33="",0,VLOOKUP($C33,'[1]Hoja 1'!$C$11:$D$27,2,FALSE)*M33)+IF($D33="",0,VLOOKUP($D33,'[1]Hoja 1'!$C$11:$D$27,2,FALSE)*N33)+IF($F33="",0,VLOOKUP($F33,'[1]Hoja 1'!$C$11:$D$27,2,FALSE)*P33)+IF(R33="",0,R33*0.5)</f>
        <v>11.5</v>
      </c>
      <c r="U33" s="22">
        <v>5</v>
      </c>
      <c r="V33" s="22"/>
      <c r="W33" s="26">
        <v>2.25</v>
      </c>
      <c r="X33" s="22"/>
      <c r="Y33" s="22"/>
      <c r="Z33" s="22"/>
      <c r="AA33" s="22"/>
      <c r="AB33" s="22"/>
      <c r="AC33" s="22">
        <v>2</v>
      </c>
      <c r="AD33" s="36">
        <v>1</v>
      </c>
      <c r="AE33" s="22"/>
      <c r="AF33" s="22"/>
      <c r="AG33" s="44"/>
      <c r="AH33" s="28">
        <f t="shared" ref="AH33:AH35" si="25">SUM(T33:AF33)</f>
        <v>21.75</v>
      </c>
      <c r="AI33" s="38"/>
      <c r="AJ33" s="22"/>
      <c r="AK33" s="22"/>
      <c r="AL33" s="22"/>
      <c r="AM33" s="42"/>
      <c r="AN33" s="30">
        <f t="shared" ref="AN33:AN35" si="26">SUM(AI33:AL33)</f>
        <v>0</v>
      </c>
      <c r="AO33" s="39"/>
      <c r="AP33" s="40"/>
      <c r="AQ33" s="33">
        <f t="shared" si="4"/>
        <v>0</v>
      </c>
      <c r="AR33" s="34">
        <f t="shared" si="5"/>
        <v>48.75</v>
      </c>
      <c r="AS33" s="370">
        <f t="shared" si="6"/>
        <v>0</v>
      </c>
      <c r="AT33" s="355">
        <v>33.450000000000003</v>
      </c>
      <c r="AU33" s="356">
        <f t="shared" si="7"/>
        <v>18</v>
      </c>
      <c r="AV33" s="357">
        <f t="shared" si="8"/>
        <v>0</v>
      </c>
      <c r="AW33" s="358">
        <f t="shared" si="9"/>
        <v>0</v>
      </c>
      <c r="AX33" s="356">
        <f t="shared" si="19"/>
        <v>15.450000000000003</v>
      </c>
      <c r="AY33" s="359">
        <f t="shared" si="20"/>
        <v>0.53811659192825112</v>
      </c>
      <c r="AZ33" s="360">
        <f t="shared" si="21"/>
        <v>0.46188340807174894</v>
      </c>
      <c r="BA33" s="287">
        <v>2002058</v>
      </c>
      <c r="BB33" s="287">
        <f t="shared" si="14"/>
        <v>41067.856410256412</v>
      </c>
    </row>
    <row r="34" spans="1:54" ht="15.75" thickBot="1" x14ac:dyDescent="0.3">
      <c r="A34" s="17" t="s">
        <v>130</v>
      </c>
      <c r="B34" s="17" t="s">
        <v>131</v>
      </c>
      <c r="C34" s="18" t="s">
        <v>99</v>
      </c>
      <c r="D34" s="18"/>
      <c r="E34" s="18"/>
      <c r="F34" s="18"/>
      <c r="G34" s="19"/>
      <c r="H34" s="19"/>
      <c r="I34" s="20"/>
      <c r="J34" s="20"/>
      <c r="K34" s="19"/>
      <c r="L34" s="21">
        <v>22.38</v>
      </c>
      <c r="M34" s="22">
        <v>12.75</v>
      </c>
      <c r="N34" s="22"/>
      <c r="O34" s="22"/>
      <c r="P34" s="22"/>
      <c r="Q34" s="22"/>
      <c r="R34" s="23" t="str">
        <f t="shared" si="0"/>
        <v/>
      </c>
      <c r="S34" s="24">
        <f t="shared" si="1"/>
        <v>12.75</v>
      </c>
      <c r="T34" s="25">
        <f>IF($C34="",0,VLOOKUP($C34,'[1]Hoja 1'!$C$11:$D$27,2,FALSE)*M34)+IF($D34="",0,VLOOKUP($D34,'[1]Hoja 1'!$C$11:$D$27,2,FALSE)*N34)+IF($F34="",0,VLOOKUP($F34,'[1]Hoja 1'!$C$11:$D$27,2,FALSE)*P34)+IF(R34="",0,R34*0.5)</f>
        <v>6.375</v>
      </c>
      <c r="U34" s="22" t="str">
        <f t="shared" ref="U34:U41" si="27">IF(G34="x",4,"")</f>
        <v/>
      </c>
      <c r="V34" s="22"/>
      <c r="W34" s="26">
        <v>2.25</v>
      </c>
      <c r="X34" s="22"/>
      <c r="Y34" s="22"/>
      <c r="Z34" s="22"/>
      <c r="AA34" s="22"/>
      <c r="AB34" s="22">
        <v>1</v>
      </c>
      <c r="AC34" s="22"/>
      <c r="AD34" s="36"/>
      <c r="AE34" s="22"/>
      <c r="AF34" s="22"/>
      <c r="AG34" s="27"/>
      <c r="AH34" s="28">
        <f t="shared" si="25"/>
        <v>9.625</v>
      </c>
      <c r="AI34" s="38"/>
      <c r="AJ34" s="22"/>
      <c r="AK34" s="22"/>
      <c r="AL34" s="22"/>
      <c r="AM34" s="42"/>
      <c r="AN34" s="30">
        <f t="shared" si="26"/>
        <v>0</v>
      </c>
      <c r="AO34" s="39"/>
      <c r="AP34" s="40"/>
      <c r="AQ34" s="33">
        <f t="shared" si="4"/>
        <v>0</v>
      </c>
      <c r="AR34" s="34">
        <f t="shared" si="5"/>
        <v>22.375</v>
      </c>
      <c r="AS34" s="370">
        <f t="shared" si="6"/>
        <v>4.9999999999990052E-3</v>
      </c>
      <c r="AT34" s="355">
        <v>17.216666666666665</v>
      </c>
      <c r="AU34" s="356">
        <f t="shared" si="7"/>
        <v>9.1666666666666661</v>
      </c>
      <c r="AV34" s="357">
        <f t="shared" si="8"/>
        <v>0</v>
      </c>
      <c r="AW34" s="358">
        <f t="shared" si="9"/>
        <v>0</v>
      </c>
      <c r="AX34" s="356">
        <f t="shared" si="19"/>
        <v>8.0499999999999989</v>
      </c>
      <c r="AY34" s="359">
        <f t="shared" si="20"/>
        <v>0.53242981606969997</v>
      </c>
      <c r="AZ34" s="360">
        <f t="shared" si="21"/>
        <v>0.46757018393030009</v>
      </c>
      <c r="BA34" s="287">
        <v>716160</v>
      </c>
      <c r="BB34" s="287">
        <f t="shared" si="14"/>
        <v>32000</v>
      </c>
    </row>
    <row r="35" spans="1:54" ht="15.75" thickBot="1" x14ac:dyDescent="0.3">
      <c r="A35" s="17" t="s">
        <v>132</v>
      </c>
      <c r="B35" s="17" t="s">
        <v>133</v>
      </c>
      <c r="C35" s="18" t="s">
        <v>99</v>
      </c>
      <c r="D35" s="18" t="s">
        <v>98</v>
      </c>
      <c r="E35" s="18"/>
      <c r="F35" s="18"/>
      <c r="G35" s="19" t="s">
        <v>57</v>
      </c>
      <c r="H35" s="19"/>
      <c r="I35" s="20"/>
      <c r="J35" s="20"/>
      <c r="K35" s="19"/>
      <c r="L35" s="21">
        <v>40.75</v>
      </c>
      <c r="M35" s="22">
        <v>12</v>
      </c>
      <c r="N35" s="22">
        <v>6</v>
      </c>
      <c r="O35" s="22"/>
      <c r="P35" s="22"/>
      <c r="Q35" s="22"/>
      <c r="R35" s="23">
        <f t="shared" si="0"/>
        <v>1</v>
      </c>
      <c r="S35" s="24">
        <f t="shared" si="1"/>
        <v>19</v>
      </c>
      <c r="T35" s="25">
        <f>IF($C35="",0,VLOOKUP($C35,'[1]Hoja 1'!$C$11:$D$27,2,FALSE)*M35)+IF($D35="",0,VLOOKUP($D35,'[1]Hoja 1'!$C$11:$D$27,2,FALSE)*N35)+IF($F35="",0,VLOOKUP($F35,'[1]Hoja 1'!$C$11:$D$27,2,FALSE)*P35)+IF(R35="",0,R35*0.5)</f>
        <v>9.5</v>
      </c>
      <c r="U35" s="22">
        <f t="shared" si="27"/>
        <v>4</v>
      </c>
      <c r="V35" s="22">
        <v>4</v>
      </c>
      <c r="W35" s="26">
        <v>2.25</v>
      </c>
      <c r="X35" s="22"/>
      <c r="Y35" s="22"/>
      <c r="Z35" s="22"/>
      <c r="AA35" s="22"/>
      <c r="AB35" s="22">
        <v>2</v>
      </c>
      <c r="AC35" s="22"/>
      <c r="AD35" s="36"/>
      <c r="AE35" s="22"/>
      <c r="AF35" s="22"/>
      <c r="AG35" s="27"/>
      <c r="AH35" s="28">
        <f t="shared" si="25"/>
        <v>21.75</v>
      </c>
      <c r="AI35" s="38"/>
      <c r="AJ35" s="22"/>
      <c r="AK35" s="22"/>
      <c r="AL35" s="22"/>
      <c r="AM35" s="42"/>
      <c r="AN35" s="30">
        <f t="shared" si="26"/>
        <v>0</v>
      </c>
      <c r="AO35" s="39"/>
      <c r="AP35" s="40"/>
      <c r="AQ35" s="33">
        <f t="shared" si="4"/>
        <v>0</v>
      </c>
      <c r="AR35" s="34">
        <f t="shared" si="5"/>
        <v>40.75</v>
      </c>
      <c r="AS35" s="370">
        <f t="shared" si="6"/>
        <v>0</v>
      </c>
      <c r="AT35" s="355">
        <v>29.35</v>
      </c>
      <c r="AU35" s="356">
        <f t="shared" si="7"/>
        <v>14</v>
      </c>
      <c r="AV35" s="357">
        <f t="shared" si="8"/>
        <v>0</v>
      </c>
      <c r="AW35" s="358">
        <f t="shared" si="9"/>
        <v>0</v>
      </c>
      <c r="AX35" s="356">
        <f t="shared" si="19"/>
        <v>15.350000000000001</v>
      </c>
      <c r="AY35" s="359">
        <f t="shared" si="20"/>
        <v>0.47700170357751276</v>
      </c>
      <c r="AZ35" s="360">
        <f t="shared" si="21"/>
        <v>0.5229982964224873</v>
      </c>
      <c r="BA35" s="287">
        <v>1508331</v>
      </c>
      <c r="BB35" s="287">
        <f t="shared" si="14"/>
        <v>37014.25766871166</v>
      </c>
    </row>
    <row r="36" spans="1:54" ht="15.75" thickBot="1" x14ac:dyDescent="0.3">
      <c r="A36" s="17" t="s">
        <v>134</v>
      </c>
      <c r="B36" s="17" t="s">
        <v>135</v>
      </c>
      <c r="C36" s="18" t="s">
        <v>126</v>
      </c>
      <c r="D36" s="18"/>
      <c r="E36" s="18"/>
      <c r="F36" s="18"/>
      <c r="G36" s="19"/>
      <c r="H36" s="19"/>
      <c r="I36" s="20"/>
      <c r="J36" s="20"/>
      <c r="K36" s="19"/>
      <c r="L36" s="21">
        <v>34</v>
      </c>
      <c r="M36" s="22">
        <v>12</v>
      </c>
      <c r="N36" s="22"/>
      <c r="O36" s="22"/>
      <c r="P36" s="22"/>
      <c r="Q36" s="22"/>
      <c r="R36" s="23" t="str">
        <f t="shared" si="0"/>
        <v/>
      </c>
      <c r="S36" s="24">
        <f t="shared" si="1"/>
        <v>12</v>
      </c>
      <c r="T36" s="25">
        <f>IF($C36="",0,VLOOKUP($C36,'[1]Hoja 1'!$C$11:$D$27,2,FALSE)*M36)+IF($D36="",0,VLOOKUP($D36,'[1]Hoja 1'!$C$11:$D$27,2,FALSE)*N36)+IF($F36="",0,VLOOKUP($F36,'[1]Hoja 1'!$C$11:$D$27,2,FALSE)*P36)+IF(R36="",0,R36*0.5)</f>
        <v>6</v>
      </c>
      <c r="U36" s="22" t="str">
        <f t="shared" si="27"/>
        <v/>
      </c>
      <c r="V36" s="22"/>
      <c r="W36" s="26">
        <v>1</v>
      </c>
      <c r="X36" s="22"/>
      <c r="Y36" s="22"/>
      <c r="Z36" s="22"/>
      <c r="AA36" s="22"/>
      <c r="AB36" s="22">
        <v>1</v>
      </c>
      <c r="AC36" s="22">
        <v>1</v>
      </c>
      <c r="AD36" s="36"/>
      <c r="AE36" s="22"/>
      <c r="AF36" s="22">
        <v>13</v>
      </c>
      <c r="AG36" s="27" t="s">
        <v>136</v>
      </c>
      <c r="AH36" s="28">
        <f>SUM(T36:AG36)</f>
        <v>22</v>
      </c>
      <c r="AI36" s="38"/>
      <c r="AJ36" s="22"/>
      <c r="AK36" s="22"/>
      <c r="AL36" s="22"/>
      <c r="AM36" s="42"/>
      <c r="AN36" s="30">
        <f>SUM(AI36:AM36)</f>
        <v>0</v>
      </c>
      <c r="AO36" s="39"/>
      <c r="AP36" s="40"/>
      <c r="AQ36" s="33">
        <f t="shared" si="4"/>
        <v>0</v>
      </c>
      <c r="AR36" s="34">
        <f t="shared" ref="AR36:AR67" si="28">+S36+AH36+AN36+AQ36</f>
        <v>34</v>
      </c>
      <c r="AS36" s="370">
        <f t="shared" ref="AS36:AS67" si="29">+L36-AR36</f>
        <v>0</v>
      </c>
      <c r="AT36" s="355">
        <v>22.216666666666665</v>
      </c>
      <c r="AU36" s="356">
        <f t="shared" ref="AU36:AU67" si="30">+(S36+AB36)*40/60</f>
        <v>8.6666666666666661</v>
      </c>
      <c r="AV36" s="357">
        <f t="shared" ref="AV36:AV67" si="31">+AN36*40/60</f>
        <v>0</v>
      </c>
      <c r="AW36" s="358">
        <f t="shared" ref="AW36:AW67" si="32">+AQ36*0.666666666666667</f>
        <v>0</v>
      </c>
      <c r="AX36" s="356">
        <f t="shared" si="19"/>
        <v>13.549999999999999</v>
      </c>
      <c r="AY36" s="359">
        <f t="shared" si="20"/>
        <v>0.3900975243810953</v>
      </c>
      <c r="AZ36" s="360">
        <f t="shared" si="21"/>
        <v>0.60990247561890476</v>
      </c>
      <c r="BA36" s="287">
        <v>1443752</v>
      </c>
      <c r="BB36" s="287">
        <f t="shared" si="14"/>
        <v>42463.294117647056</v>
      </c>
    </row>
    <row r="37" spans="1:54" ht="15.75" thickBot="1" x14ac:dyDescent="0.3">
      <c r="A37" s="17" t="s">
        <v>137</v>
      </c>
      <c r="B37" s="17" t="s">
        <v>138</v>
      </c>
      <c r="C37" s="18" t="s">
        <v>80</v>
      </c>
      <c r="D37" s="18"/>
      <c r="E37" s="18"/>
      <c r="F37" s="18"/>
      <c r="G37" s="19"/>
      <c r="H37" s="19"/>
      <c r="I37" s="20"/>
      <c r="J37" s="20"/>
      <c r="K37" s="19"/>
      <c r="L37" s="21">
        <v>49.63</v>
      </c>
      <c r="M37" s="22">
        <v>35.75</v>
      </c>
      <c r="N37" s="22"/>
      <c r="O37" s="22"/>
      <c r="P37" s="22"/>
      <c r="Q37" s="22"/>
      <c r="R37" s="23" t="str">
        <f t="shared" si="0"/>
        <v/>
      </c>
      <c r="S37" s="24">
        <f t="shared" si="1"/>
        <v>35.75</v>
      </c>
      <c r="T37" s="25">
        <v>11.625</v>
      </c>
      <c r="U37" s="22" t="str">
        <f t="shared" si="27"/>
        <v/>
      </c>
      <c r="V37" s="22"/>
      <c r="W37" s="26">
        <v>2.25</v>
      </c>
      <c r="X37" s="22"/>
      <c r="Y37" s="22"/>
      <c r="Z37" s="22"/>
      <c r="AA37" s="22"/>
      <c r="AB37" s="22"/>
      <c r="AC37" s="22"/>
      <c r="AD37" s="36"/>
      <c r="AE37" s="22"/>
      <c r="AF37" s="22"/>
      <c r="AG37" s="27"/>
      <c r="AH37" s="28">
        <f>SUM(T37:AF37)</f>
        <v>13.875</v>
      </c>
      <c r="AI37" s="38"/>
      <c r="AJ37" s="22"/>
      <c r="AK37" s="22"/>
      <c r="AL37" s="22"/>
      <c r="AM37" s="42"/>
      <c r="AN37" s="30">
        <f t="shared" ref="AN37:AN38" si="33">SUM(AI37:AL37)</f>
        <v>0</v>
      </c>
      <c r="AO37" s="39"/>
      <c r="AP37" s="40"/>
      <c r="AQ37" s="33">
        <f t="shared" si="4"/>
        <v>0</v>
      </c>
      <c r="AR37" s="34">
        <f t="shared" si="28"/>
        <v>49.625</v>
      </c>
      <c r="AS37" s="370">
        <f t="shared" si="29"/>
        <v>5.000000000002558E-3</v>
      </c>
      <c r="AT37" s="355">
        <v>33.583333333333336</v>
      </c>
      <c r="AU37" s="356">
        <f t="shared" si="30"/>
        <v>23.833333333333332</v>
      </c>
      <c r="AV37" s="376">
        <f t="shared" si="31"/>
        <v>0</v>
      </c>
      <c r="AW37" s="358">
        <f t="shared" si="32"/>
        <v>0</v>
      </c>
      <c r="AX37" s="356">
        <f t="shared" si="19"/>
        <v>9.7500000000000036</v>
      </c>
      <c r="AY37" s="359">
        <f t="shared" si="20"/>
        <v>0.70967741935483863</v>
      </c>
      <c r="AZ37" s="360">
        <f t="shared" si="21"/>
        <v>0.29032258064516137</v>
      </c>
      <c r="BA37" s="287">
        <v>1637790</v>
      </c>
      <c r="BB37" s="287">
        <f t="shared" si="14"/>
        <v>33000</v>
      </c>
    </row>
    <row r="38" spans="1:54" ht="15.75" thickBot="1" x14ac:dyDescent="0.3">
      <c r="A38" s="17" t="s">
        <v>139</v>
      </c>
      <c r="B38" s="17" t="s">
        <v>140</v>
      </c>
      <c r="C38" s="18" t="s">
        <v>56</v>
      </c>
      <c r="D38" s="18"/>
      <c r="E38" s="18"/>
      <c r="F38" s="18"/>
      <c r="G38" s="19"/>
      <c r="H38" s="19"/>
      <c r="I38" s="20"/>
      <c r="J38" s="20"/>
      <c r="K38" s="19"/>
      <c r="L38" s="21">
        <v>11.5</v>
      </c>
      <c r="M38" s="22">
        <v>6</v>
      </c>
      <c r="N38" s="22"/>
      <c r="O38" s="22"/>
      <c r="P38" s="22"/>
      <c r="Q38" s="22"/>
      <c r="R38" s="23" t="str">
        <f t="shared" si="0"/>
        <v/>
      </c>
      <c r="S38" s="24">
        <f t="shared" si="1"/>
        <v>6</v>
      </c>
      <c r="T38" s="25">
        <f>IF($C38="",0,VLOOKUP($C38,'[1]Hoja 1'!$C$11:$D$27,2,FALSE)*M38)+IF($D38="",0,VLOOKUP($D38,'[1]Hoja 1'!$C$11:$D$27,2,FALSE)*N38)+IF($F38="",0,VLOOKUP($F38,'[1]Hoja 1'!$C$11:$D$27,2,FALSE)*P38)+IF(R38="",0,R38*0.5)</f>
        <v>3</v>
      </c>
      <c r="U38" s="22" t="str">
        <f t="shared" si="27"/>
        <v/>
      </c>
      <c r="V38" s="22"/>
      <c r="W38" s="26">
        <v>1.5</v>
      </c>
      <c r="X38" s="22"/>
      <c r="Y38" s="22"/>
      <c r="Z38" s="22"/>
      <c r="AA38" s="22"/>
      <c r="AB38" s="22"/>
      <c r="AC38" s="22"/>
      <c r="AD38" s="36"/>
      <c r="AE38" s="22"/>
      <c r="AF38" s="22">
        <v>1</v>
      </c>
      <c r="AG38" s="27" t="s">
        <v>141</v>
      </c>
      <c r="AH38" s="28">
        <f>SUM(T38:AG38)</f>
        <v>5.5</v>
      </c>
      <c r="AI38" s="38"/>
      <c r="AJ38" s="22"/>
      <c r="AK38" s="22"/>
      <c r="AL38" s="22"/>
      <c r="AM38" s="42"/>
      <c r="AN38" s="30">
        <f t="shared" si="33"/>
        <v>0</v>
      </c>
      <c r="AO38" s="39"/>
      <c r="AP38" s="40"/>
      <c r="AQ38" s="33">
        <f t="shared" si="4"/>
        <v>0</v>
      </c>
      <c r="AR38" s="34">
        <f t="shared" si="28"/>
        <v>11.5</v>
      </c>
      <c r="AS38" s="370">
        <f t="shared" si="29"/>
        <v>0</v>
      </c>
      <c r="AT38" s="355">
        <v>9.1</v>
      </c>
      <c r="AU38" s="356">
        <f t="shared" si="30"/>
        <v>4</v>
      </c>
      <c r="AV38" s="357">
        <f t="shared" si="31"/>
        <v>0</v>
      </c>
      <c r="AW38" s="358">
        <f t="shared" si="32"/>
        <v>0</v>
      </c>
      <c r="AX38" s="356">
        <f t="shared" si="19"/>
        <v>5.0999999999999996</v>
      </c>
      <c r="AY38" s="359">
        <f t="shared" si="20"/>
        <v>0.43956043956043955</v>
      </c>
      <c r="AZ38" s="360">
        <f t="shared" si="21"/>
        <v>0.56043956043956045</v>
      </c>
      <c r="BA38" s="287">
        <v>445021</v>
      </c>
      <c r="BB38" s="287">
        <f t="shared" si="14"/>
        <v>38697.478260869568</v>
      </c>
    </row>
    <row r="39" spans="1:54" ht="15.75" thickBot="1" x14ac:dyDescent="0.3">
      <c r="A39" s="17" t="s">
        <v>142</v>
      </c>
      <c r="B39" s="17" t="s">
        <v>143</v>
      </c>
      <c r="C39" s="18" t="s">
        <v>56</v>
      </c>
      <c r="D39" s="18"/>
      <c r="E39" s="18"/>
      <c r="F39" s="18"/>
      <c r="G39" s="19" t="s">
        <v>57</v>
      </c>
      <c r="H39" s="19" t="s">
        <v>57</v>
      </c>
      <c r="I39" s="20"/>
      <c r="J39" s="20"/>
      <c r="K39" s="19"/>
      <c r="L39" s="21">
        <v>40.75</v>
      </c>
      <c r="M39" s="22">
        <v>12</v>
      </c>
      <c r="N39" s="22"/>
      <c r="O39" s="22"/>
      <c r="P39" s="22"/>
      <c r="Q39" s="22"/>
      <c r="R39" s="23">
        <f t="shared" si="0"/>
        <v>1</v>
      </c>
      <c r="S39" s="24">
        <f t="shared" si="1"/>
        <v>13</v>
      </c>
      <c r="T39" s="25">
        <f>IF($C39="",0,VLOOKUP($C39,'[1]Hoja 1'!$C$11:$D$27,2,FALSE)*M39)+IF($D39="",0,VLOOKUP($D39,'[1]Hoja 1'!$C$11:$D$27,2,FALSE)*N39)+IF($F39="",0,VLOOKUP($F39,'[1]Hoja 1'!$C$11:$D$27,2,FALSE)*P39)+IF(R39="",0,R39*0.5)</f>
        <v>6.5</v>
      </c>
      <c r="U39" s="22">
        <f t="shared" si="27"/>
        <v>4</v>
      </c>
      <c r="V39" s="22">
        <v>4</v>
      </c>
      <c r="W39" s="26">
        <v>2.25</v>
      </c>
      <c r="X39" s="22"/>
      <c r="Y39" s="22"/>
      <c r="Z39" s="22"/>
      <c r="AA39" s="22"/>
      <c r="AB39" s="22"/>
      <c r="AC39" s="22"/>
      <c r="AD39" s="36"/>
      <c r="AE39" s="22"/>
      <c r="AF39" s="22">
        <v>4</v>
      </c>
      <c r="AG39" s="42" t="s">
        <v>144</v>
      </c>
      <c r="AH39" s="28">
        <f t="shared" ref="AH39:AH40" si="34">SUM(T39:AF39)</f>
        <v>20.75</v>
      </c>
      <c r="AI39" s="38"/>
      <c r="AJ39" s="22">
        <v>7</v>
      </c>
      <c r="AK39" s="22"/>
      <c r="AL39" s="22"/>
      <c r="AM39" s="42"/>
      <c r="AN39" s="30">
        <f>SUM(AI39:AM39)</f>
        <v>7</v>
      </c>
      <c r="AO39" s="39"/>
      <c r="AP39" s="40"/>
      <c r="AQ39" s="33">
        <f t="shared" si="4"/>
        <v>0</v>
      </c>
      <c r="AR39" s="34">
        <f t="shared" si="28"/>
        <v>40.75</v>
      </c>
      <c r="AS39" s="370">
        <f t="shared" si="29"/>
        <v>0</v>
      </c>
      <c r="AT39" s="355">
        <v>31.216666666666665</v>
      </c>
      <c r="AU39" s="356">
        <f t="shared" si="30"/>
        <v>8.6666666666666661</v>
      </c>
      <c r="AV39" s="357">
        <f t="shared" si="31"/>
        <v>4.666666666666667</v>
      </c>
      <c r="AW39" s="358">
        <f t="shared" si="32"/>
        <v>0</v>
      </c>
      <c r="AX39" s="356">
        <f t="shared" si="19"/>
        <v>17.883333333333329</v>
      </c>
      <c r="AY39" s="359">
        <f t="shared" si="20"/>
        <v>0.32642812303829255</v>
      </c>
      <c r="AZ39" s="360">
        <f t="shared" si="21"/>
        <v>0.67357187696170739</v>
      </c>
      <c r="BA39" s="287">
        <v>1665161</v>
      </c>
      <c r="BB39" s="287">
        <f t="shared" si="14"/>
        <v>40862.84662576687</v>
      </c>
    </row>
    <row r="40" spans="1:54" ht="15.75" thickBot="1" x14ac:dyDescent="0.3">
      <c r="A40" s="17" t="s">
        <v>145</v>
      </c>
      <c r="B40" s="17" t="s">
        <v>146</v>
      </c>
      <c r="C40" s="18" t="s">
        <v>80</v>
      </c>
      <c r="D40" s="18"/>
      <c r="E40" s="18"/>
      <c r="F40" s="18"/>
      <c r="G40" s="19"/>
      <c r="H40" s="19"/>
      <c r="I40" s="20"/>
      <c r="J40" s="20"/>
      <c r="K40" s="19"/>
      <c r="L40" s="21">
        <v>49.63</v>
      </c>
      <c r="M40" s="22">
        <v>35.75</v>
      </c>
      <c r="N40" s="22"/>
      <c r="O40" s="22"/>
      <c r="P40" s="22"/>
      <c r="Q40" s="22"/>
      <c r="R40" s="23" t="str">
        <f t="shared" si="0"/>
        <v/>
      </c>
      <c r="S40" s="24">
        <f t="shared" si="1"/>
        <v>35.75</v>
      </c>
      <c r="T40" s="25">
        <v>11.625</v>
      </c>
      <c r="U40" s="22" t="str">
        <f t="shared" si="27"/>
        <v/>
      </c>
      <c r="V40" s="22"/>
      <c r="W40" s="26">
        <v>2.25</v>
      </c>
      <c r="X40" s="22"/>
      <c r="Y40" s="22"/>
      <c r="Z40" s="22"/>
      <c r="AA40" s="22"/>
      <c r="AB40" s="22"/>
      <c r="AC40" s="22"/>
      <c r="AD40" s="36"/>
      <c r="AE40" s="22"/>
      <c r="AF40" s="22"/>
      <c r="AG40" s="42"/>
      <c r="AH40" s="28">
        <f t="shared" si="34"/>
        <v>13.875</v>
      </c>
      <c r="AI40" s="38"/>
      <c r="AJ40" s="22"/>
      <c r="AK40" s="22"/>
      <c r="AL40" s="22"/>
      <c r="AM40" s="42"/>
      <c r="AN40" s="30">
        <f>SUM(AI40:AL40)</f>
        <v>0</v>
      </c>
      <c r="AO40" s="39"/>
      <c r="AP40" s="40"/>
      <c r="AQ40" s="33">
        <f t="shared" si="4"/>
        <v>0</v>
      </c>
      <c r="AR40" s="34">
        <f t="shared" si="28"/>
        <v>49.625</v>
      </c>
      <c r="AS40" s="370">
        <f t="shared" si="29"/>
        <v>5.000000000002558E-3</v>
      </c>
      <c r="AT40" s="355">
        <v>33.583333333333336</v>
      </c>
      <c r="AU40" s="356">
        <f t="shared" si="30"/>
        <v>23.833333333333332</v>
      </c>
      <c r="AV40" s="376">
        <f t="shared" si="31"/>
        <v>0</v>
      </c>
      <c r="AW40" s="358">
        <f t="shared" si="32"/>
        <v>0</v>
      </c>
      <c r="AX40" s="356">
        <f t="shared" si="19"/>
        <v>9.7500000000000036</v>
      </c>
      <c r="AY40" s="359">
        <f t="shared" si="20"/>
        <v>0.70967741935483863</v>
      </c>
      <c r="AZ40" s="360">
        <f t="shared" si="21"/>
        <v>0.29032258064516137</v>
      </c>
      <c r="BA40" s="287">
        <v>1914401</v>
      </c>
      <c r="BB40" s="287">
        <f t="shared" si="14"/>
        <v>38573.463630868428</v>
      </c>
    </row>
    <row r="41" spans="1:54" ht="15.75" thickBot="1" x14ac:dyDescent="0.3">
      <c r="A41" s="17" t="s">
        <v>147</v>
      </c>
      <c r="B41" s="17" t="s">
        <v>148</v>
      </c>
      <c r="C41" s="18" t="s">
        <v>126</v>
      </c>
      <c r="D41" s="18"/>
      <c r="E41" s="18"/>
      <c r="F41" s="18"/>
      <c r="G41" s="19"/>
      <c r="H41" s="19"/>
      <c r="I41" s="20"/>
      <c r="J41" s="20"/>
      <c r="K41" s="19"/>
      <c r="L41" s="21">
        <v>47</v>
      </c>
      <c r="M41" s="22">
        <v>21.5</v>
      </c>
      <c r="N41" s="22"/>
      <c r="O41" s="22"/>
      <c r="P41" s="22"/>
      <c r="Q41" s="22"/>
      <c r="R41" s="23" t="str">
        <f t="shared" si="0"/>
        <v/>
      </c>
      <c r="S41" s="24">
        <f t="shared" si="1"/>
        <v>21.5</v>
      </c>
      <c r="T41" s="25">
        <v>11</v>
      </c>
      <c r="U41" s="22" t="str">
        <f t="shared" si="27"/>
        <v/>
      </c>
      <c r="V41" s="22"/>
      <c r="W41" s="26">
        <v>1.5</v>
      </c>
      <c r="X41" s="22"/>
      <c r="Y41" s="22"/>
      <c r="Z41" s="22"/>
      <c r="AA41" s="22"/>
      <c r="AB41" s="22"/>
      <c r="AC41" s="22">
        <v>1</v>
      </c>
      <c r="AD41" s="36"/>
      <c r="AE41" s="22"/>
      <c r="AF41" s="22">
        <v>12</v>
      </c>
      <c r="AG41" s="27" t="s">
        <v>127</v>
      </c>
      <c r="AH41" s="28">
        <f>SUM(T41:AG41)</f>
        <v>25.5</v>
      </c>
      <c r="AI41" s="38"/>
      <c r="AJ41" s="22"/>
      <c r="AK41" s="22"/>
      <c r="AL41" s="22"/>
      <c r="AM41" s="42"/>
      <c r="AN41" s="30">
        <f>SUM(AI41:AM41)</f>
        <v>0</v>
      </c>
      <c r="AO41" s="39"/>
      <c r="AP41" s="40"/>
      <c r="AQ41" s="33">
        <f t="shared" si="4"/>
        <v>0</v>
      </c>
      <c r="AR41" s="34">
        <f t="shared" si="28"/>
        <v>47</v>
      </c>
      <c r="AS41" s="370">
        <f t="shared" si="29"/>
        <v>0</v>
      </c>
      <c r="AT41" s="355">
        <v>32.358333333333334</v>
      </c>
      <c r="AU41" s="356">
        <f t="shared" si="30"/>
        <v>14.333333333333334</v>
      </c>
      <c r="AV41" s="357">
        <f t="shared" si="31"/>
        <v>0</v>
      </c>
      <c r="AW41" s="358">
        <f t="shared" si="32"/>
        <v>0</v>
      </c>
      <c r="AX41" s="356">
        <f t="shared" si="19"/>
        <v>18.024999999999999</v>
      </c>
      <c r="AY41" s="359">
        <f t="shared" si="20"/>
        <v>0.44295647695081125</v>
      </c>
      <c r="AZ41" s="360">
        <f t="shared" si="21"/>
        <v>0.55704352304918869</v>
      </c>
      <c r="BA41" s="287">
        <v>2322869</v>
      </c>
      <c r="BB41" s="287">
        <f t="shared" si="14"/>
        <v>49422.744680851065</v>
      </c>
    </row>
    <row r="42" spans="1:54" ht="15.75" thickBot="1" x14ac:dyDescent="0.3">
      <c r="A42" s="17" t="s">
        <v>149</v>
      </c>
      <c r="B42" s="17" t="s">
        <v>150</v>
      </c>
      <c r="C42" s="18" t="s">
        <v>114</v>
      </c>
      <c r="D42" s="18"/>
      <c r="E42" s="18"/>
      <c r="F42" s="18"/>
      <c r="G42" s="19" t="s">
        <v>57</v>
      </c>
      <c r="H42" s="19"/>
      <c r="I42" s="20"/>
      <c r="J42" s="20"/>
      <c r="K42" s="19"/>
      <c r="L42" s="21">
        <v>45.75</v>
      </c>
      <c r="M42" s="22">
        <v>18</v>
      </c>
      <c r="N42" s="22"/>
      <c r="O42" s="22"/>
      <c r="P42" s="22"/>
      <c r="Q42" s="22">
        <v>6</v>
      </c>
      <c r="R42" s="23">
        <f t="shared" si="0"/>
        <v>1</v>
      </c>
      <c r="S42" s="24">
        <f t="shared" si="1"/>
        <v>25</v>
      </c>
      <c r="T42" s="25">
        <f>IF($C42="",0,VLOOKUP($C42,'[1]Hoja 1'!$C$11:$D$27,2,FALSE)*M42)+IF($D42="",0,VLOOKUP($D42,'[1]Hoja 1'!$C$11:$D$27,2,FALSE)*N42)+IF($F42="",0,VLOOKUP($F42,'[1]Hoja 1'!$C$11:$D$27,2,FALSE)*P42)+IF(R42="",0,R42*0.5)</f>
        <v>9.5</v>
      </c>
      <c r="U42" s="22">
        <v>5</v>
      </c>
      <c r="V42" s="22"/>
      <c r="W42" s="26">
        <v>2.25</v>
      </c>
      <c r="X42" s="22"/>
      <c r="Y42" s="22"/>
      <c r="Z42" s="22"/>
      <c r="AA42" s="22"/>
      <c r="AB42" s="22">
        <v>1</v>
      </c>
      <c r="AC42" s="22">
        <v>1</v>
      </c>
      <c r="AD42" s="36">
        <v>2</v>
      </c>
      <c r="AE42" s="22"/>
      <c r="AF42" s="22"/>
      <c r="AG42" s="27"/>
      <c r="AH42" s="28">
        <f t="shared" ref="AH42:AH46" si="35">SUM(T42:AF42)</f>
        <v>20.75</v>
      </c>
      <c r="AI42" s="38"/>
      <c r="AJ42" s="22"/>
      <c r="AK42" s="22"/>
      <c r="AL42" s="22"/>
      <c r="AM42" s="42"/>
      <c r="AN42" s="30">
        <f>SUM(AI42:AL42)</f>
        <v>0</v>
      </c>
      <c r="AO42" s="39"/>
      <c r="AP42" s="40"/>
      <c r="AQ42" s="33">
        <f t="shared" si="4"/>
        <v>0</v>
      </c>
      <c r="AR42" s="34">
        <f t="shared" si="28"/>
        <v>45.75</v>
      </c>
      <c r="AS42" s="370">
        <f t="shared" si="29"/>
        <v>0</v>
      </c>
      <c r="AT42" s="355">
        <v>34.43333333333333</v>
      </c>
      <c r="AU42" s="356">
        <f t="shared" si="30"/>
        <v>17.333333333333332</v>
      </c>
      <c r="AV42" s="357">
        <f t="shared" si="31"/>
        <v>0</v>
      </c>
      <c r="AW42" s="358">
        <f t="shared" si="32"/>
        <v>0</v>
      </c>
      <c r="AX42" s="356">
        <f t="shared" si="19"/>
        <v>17.099999999999998</v>
      </c>
      <c r="AY42" s="359">
        <f t="shared" si="20"/>
        <v>0.50338818973862542</v>
      </c>
      <c r="AZ42" s="360">
        <f t="shared" si="21"/>
        <v>0.49661181026137463</v>
      </c>
      <c r="BA42" s="287">
        <v>1601250</v>
      </c>
      <c r="BB42" s="287">
        <f t="shared" si="14"/>
        <v>35000</v>
      </c>
    </row>
    <row r="43" spans="1:54" ht="15.75" thickBot="1" x14ac:dyDescent="0.3">
      <c r="A43" s="17" t="s">
        <v>151</v>
      </c>
      <c r="B43" s="17" t="s">
        <v>152</v>
      </c>
      <c r="C43" s="18" t="s">
        <v>56</v>
      </c>
      <c r="D43" s="18"/>
      <c r="E43" s="18"/>
      <c r="F43" s="18"/>
      <c r="G43" s="19"/>
      <c r="H43" s="19"/>
      <c r="I43" s="20"/>
      <c r="J43" s="20"/>
      <c r="K43" s="19"/>
      <c r="L43" s="21">
        <v>24.75</v>
      </c>
      <c r="M43" s="22">
        <v>9</v>
      </c>
      <c r="N43" s="22"/>
      <c r="O43" s="22"/>
      <c r="P43" s="22"/>
      <c r="Q43" s="22"/>
      <c r="R43" s="23" t="str">
        <f t="shared" si="0"/>
        <v/>
      </c>
      <c r="S43" s="24">
        <f t="shared" si="1"/>
        <v>9</v>
      </c>
      <c r="T43" s="25">
        <f>IF($C43="",0,VLOOKUP($C43,'[1]Hoja 1'!$C$11:$D$27,2,FALSE)*M43)+IF($D43="",0,VLOOKUP($D43,'[1]Hoja 1'!$C$11:$D$27,2,FALSE)*N43)+IF($F43="",0,VLOOKUP($F43,'[1]Hoja 1'!$C$11:$D$27,2,FALSE)*P43)+IF(R43="",0,R43*0.5)</f>
        <v>4.5</v>
      </c>
      <c r="U43" s="22" t="str">
        <f>IF(G43="x",4,"")</f>
        <v/>
      </c>
      <c r="V43" s="22"/>
      <c r="W43" s="26">
        <v>2.25</v>
      </c>
      <c r="X43" s="22"/>
      <c r="Y43" s="22"/>
      <c r="Z43" s="22"/>
      <c r="AA43" s="22"/>
      <c r="AB43" s="22"/>
      <c r="AC43" s="22"/>
      <c r="AD43" s="36"/>
      <c r="AE43" s="22"/>
      <c r="AF43" s="22">
        <v>2</v>
      </c>
      <c r="AG43" s="42" t="s">
        <v>144</v>
      </c>
      <c r="AH43" s="28">
        <f t="shared" si="35"/>
        <v>8.75</v>
      </c>
      <c r="AI43" s="38"/>
      <c r="AJ43" s="22"/>
      <c r="AK43" s="22"/>
      <c r="AL43" s="22"/>
      <c r="AM43" s="42"/>
      <c r="AN43" s="30">
        <f>SUM(AI43:AM43)</f>
        <v>0</v>
      </c>
      <c r="AO43" s="39">
        <v>7</v>
      </c>
      <c r="AP43" s="40" t="s">
        <v>119</v>
      </c>
      <c r="AQ43" s="33">
        <f t="shared" si="4"/>
        <v>7</v>
      </c>
      <c r="AR43" s="34">
        <f t="shared" si="28"/>
        <v>24.75</v>
      </c>
      <c r="AS43" s="370">
        <f t="shared" si="29"/>
        <v>0</v>
      </c>
      <c r="AT43" s="355">
        <v>20.149999999999999</v>
      </c>
      <c r="AU43" s="356">
        <f t="shared" si="30"/>
        <v>6</v>
      </c>
      <c r="AV43" s="357">
        <f t="shared" si="31"/>
        <v>0</v>
      </c>
      <c r="AW43" s="358">
        <f t="shared" si="32"/>
        <v>4.6666666666666687</v>
      </c>
      <c r="AX43" s="356">
        <f t="shared" si="19"/>
        <v>9.4833333333333307</v>
      </c>
      <c r="AY43" s="359">
        <f t="shared" si="20"/>
        <v>0.38751345532831005</v>
      </c>
      <c r="AZ43" s="360">
        <f t="shared" si="21"/>
        <v>0.61248654467168995</v>
      </c>
      <c r="BA43" s="287">
        <v>875824</v>
      </c>
      <c r="BB43" s="287">
        <f t="shared" si="14"/>
        <v>35386.828282828283</v>
      </c>
    </row>
    <row r="44" spans="1:54" ht="15.75" thickBot="1" x14ac:dyDescent="0.3">
      <c r="A44" s="17" t="s">
        <v>153</v>
      </c>
      <c r="B44" s="17" t="s">
        <v>154</v>
      </c>
      <c r="C44" s="18" t="s">
        <v>80</v>
      </c>
      <c r="D44" s="18"/>
      <c r="E44" s="18"/>
      <c r="F44" s="18"/>
      <c r="G44" s="19"/>
      <c r="H44" s="19"/>
      <c r="I44" s="20" t="s">
        <v>57</v>
      </c>
      <c r="J44" s="45" t="s">
        <v>155</v>
      </c>
      <c r="K44" s="19"/>
      <c r="L44" s="21">
        <v>49.63</v>
      </c>
      <c r="M44" s="22">
        <v>0</v>
      </c>
      <c r="N44" s="22"/>
      <c r="O44" s="22"/>
      <c r="P44" s="22"/>
      <c r="Q44" s="22"/>
      <c r="R44" s="23" t="str">
        <f t="shared" si="0"/>
        <v/>
      </c>
      <c r="S44" s="24">
        <f t="shared" si="1"/>
        <v>0</v>
      </c>
      <c r="T44" s="25">
        <f>IF($C44="",0,VLOOKUP($C44,'[1]Hoja 1'!$C$11:$D$27,2,FALSE)*M44)+IF($D44="",0,VLOOKUP($D44,'[1]Hoja 1'!$C$11:$D$27,2,FALSE)*N44)+IF($F44="",0,VLOOKUP($F44,'[1]Hoja 1'!$C$11:$D$27,2,FALSE)*P44)+IF(R44="",0,R44*0.5)</f>
        <v>0</v>
      </c>
      <c r="U44" s="22" t="str">
        <f>IF(G44="x",4,"")</f>
        <v/>
      </c>
      <c r="V44" s="22"/>
      <c r="W44" s="26">
        <v>2.25</v>
      </c>
      <c r="X44" s="22"/>
      <c r="Y44" s="22"/>
      <c r="Z44" s="22"/>
      <c r="AA44" s="22"/>
      <c r="AB44" s="22"/>
      <c r="AC44" s="22"/>
      <c r="AD44" s="36"/>
      <c r="AE44" s="22"/>
      <c r="AF44" s="22"/>
      <c r="AG44" s="27"/>
      <c r="AH44" s="28">
        <f t="shared" si="35"/>
        <v>2.25</v>
      </c>
      <c r="AI44" s="38">
        <v>47.38</v>
      </c>
      <c r="AJ44" s="22"/>
      <c r="AK44" s="22"/>
      <c r="AL44" s="22"/>
      <c r="AM44" s="42"/>
      <c r="AN44" s="30">
        <f t="shared" ref="AN44:AN100" si="36">SUM(AI44:AL44)</f>
        <v>47.38</v>
      </c>
      <c r="AO44" s="39"/>
      <c r="AP44" s="40"/>
      <c r="AQ44" s="33">
        <f t="shared" si="4"/>
        <v>0</v>
      </c>
      <c r="AR44" s="34">
        <f t="shared" si="28"/>
        <v>49.63</v>
      </c>
      <c r="AS44" s="370">
        <f t="shared" si="29"/>
        <v>0</v>
      </c>
      <c r="AT44" s="355">
        <v>33.594999999999999</v>
      </c>
      <c r="AU44" s="356">
        <f t="shared" si="30"/>
        <v>0</v>
      </c>
      <c r="AV44" s="376">
        <f t="shared" si="31"/>
        <v>31.586666666666666</v>
      </c>
      <c r="AW44" s="358">
        <f t="shared" si="32"/>
        <v>0</v>
      </c>
      <c r="AX44" s="356">
        <f t="shared" si="19"/>
        <v>2.0083333333333329</v>
      </c>
      <c r="AY44" s="377" t="s">
        <v>1186</v>
      </c>
      <c r="AZ44" s="360"/>
      <c r="BA44" s="287">
        <v>1741401</v>
      </c>
      <c r="BB44" s="287">
        <f t="shared" si="14"/>
        <v>35087.668748740682</v>
      </c>
    </row>
    <row r="45" spans="1:54" ht="15.75" thickBot="1" x14ac:dyDescent="0.3">
      <c r="A45" s="17" t="s">
        <v>156</v>
      </c>
      <c r="B45" s="17" t="s">
        <v>157</v>
      </c>
      <c r="C45" s="18" t="s">
        <v>54</v>
      </c>
      <c r="D45" s="18"/>
      <c r="E45" s="18"/>
      <c r="F45" s="18"/>
      <c r="G45" s="19"/>
      <c r="H45" s="19" t="s">
        <v>57</v>
      </c>
      <c r="I45" s="20"/>
      <c r="J45" s="20"/>
      <c r="K45" s="19"/>
      <c r="L45" s="21">
        <v>51.25</v>
      </c>
      <c r="M45" s="22">
        <v>16</v>
      </c>
      <c r="N45" s="22"/>
      <c r="O45" s="22"/>
      <c r="P45" s="22"/>
      <c r="Q45" s="22"/>
      <c r="R45" s="23" t="str">
        <f t="shared" si="0"/>
        <v/>
      </c>
      <c r="S45" s="24">
        <f t="shared" si="1"/>
        <v>16</v>
      </c>
      <c r="T45" s="25">
        <f>IF($C45="",0,VLOOKUP($C45,'[1]Hoja 1'!$C$11:$D$27,2,FALSE)*M45)+IF($D45="",0,VLOOKUP($D45,'[1]Hoja 1'!$C$11:$D$27,2,FALSE)*N45)+IF($F45="",0,VLOOKUP($F45,'[1]Hoja 1'!$C$11:$D$27,2,FALSE)*P45)+IF(R45="",0,R45*0.5)</f>
        <v>8</v>
      </c>
      <c r="U45" s="22" t="str">
        <f>IF(G45="x",4,"")</f>
        <v/>
      </c>
      <c r="V45" s="22"/>
      <c r="W45" s="26">
        <v>2.25</v>
      </c>
      <c r="X45" s="22"/>
      <c r="Y45" s="22"/>
      <c r="Z45" s="22"/>
      <c r="AA45" s="22"/>
      <c r="AB45" s="22">
        <v>2</v>
      </c>
      <c r="AC45" s="22"/>
      <c r="AD45" s="36"/>
      <c r="AE45" s="22"/>
      <c r="AF45" s="22"/>
      <c r="AG45" s="27"/>
      <c r="AH45" s="28">
        <f t="shared" si="35"/>
        <v>12.25</v>
      </c>
      <c r="AI45" s="9"/>
      <c r="AJ45" s="46"/>
      <c r="AK45" s="22">
        <v>15</v>
      </c>
      <c r="AL45" s="22"/>
      <c r="AM45" s="42"/>
      <c r="AN45" s="30">
        <f>SUM(AJ45:AL45)</f>
        <v>15</v>
      </c>
      <c r="AO45" s="39"/>
      <c r="AP45" s="40"/>
      <c r="AQ45" s="33">
        <f t="shared" si="4"/>
        <v>0</v>
      </c>
      <c r="AR45" s="34">
        <f t="shared" si="28"/>
        <v>43.25</v>
      </c>
      <c r="AS45" s="370">
        <f t="shared" si="29"/>
        <v>8</v>
      </c>
      <c r="AT45" s="355">
        <v>38.299999999999997</v>
      </c>
      <c r="AU45" s="356">
        <f t="shared" si="30"/>
        <v>12</v>
      </c>
      <c r="AV45" s="357">
        <f t="shared" si="31"/>
        <v>10</v>
      </c>
      <c r="AW45" s="358">
        <f t="shared" si="32"/>
        <v>0</v>
      </c>
      <c r="AX45" s="356">
        <f t="shared" si="19"/>
        <v>16.299999999999997</v>
      </c>
      <c r="AY45" s="359">
        <f t="shared" ref="AY45:AY48" si="37">+AU45/(AU45+AX45)</f>
        <v>0.42402826855123676</v>
      </c>
      <c r="AZ45" s="360">
        <f t="shared" ref="AZ45:AZ48" si="38">+AX45/(AU45+AX45)</f>
        <v>0.57597173144876324</v>
      </c>
      <c r="BA45" s="287">
        <v>2292709</v>
      </c>
      <c r="BB45" s="287">
        <f t="shared" si="14"/>
        <v>44735.785365853655</v>
      </c>
    </row>
    <row r="46" spans="1:54" ht="15.75" thickBot="1" x14ac:dyDescent="0.3">
      <c r="A46" s="17" t="s">
        <v>158</v>
      </c>
      <c r="B46" s="17" t="s">
        <v>159</v>
      </c>
      <c r="C46" s="18" t="s">
        <v>114</v>
      </c>
      <c r="D46" s="18"/>
      <c r="E46" s="18"/>
      <c r="F46" s="18"/>
      <c r="G46" s="19" t="s">
        <v>57</v>
      </c>
      <c r="H46" s="19"/>
      <c r="I46" s="20" t="s">
        <v>57</v>
      </c>
      <c r="J46" s="45" t="s">
        <v>155</v>
      </c>
      <c r="K46" s="19"/>
      <c r="L46" s="21">
        <v>52.05</v>
      </c>
      <c r="M46" s="22">
        <v>8</v>
      </c>
      <c r="N46" s="22"/>
      <c r="O46" s="22"/>
      <c r="P46" s="22"/>
      <c r="Q46" s="22">
        <v>6</v>
      </c>
      <c r="R46" s="23">
        <f t="shared" si="0"/>
        <v>1</v>
      </c>
      <c r="S46" s="24">
        <f t="shared" si="1"/>
        <v>15</v>
      </c>
      <c r="T46" s="25">
        <f>IF($C46="",0,VLOOKUP($C46,'[1]Hoja 1'!$C$11:$D$27,2,FALSE)*M46)+IF($D46="",0,VLOOKUP($D46,'[1]Hoja 1'!$C$11:$D$27,2,FALSE)*N46)+IF($F46="",0,VLOOKUP($F46,'[1]Hoja 1'!$C$11:$D$27,2,FALSE)*P46)+IF(R46="",0,R46*0.5)</f>
        <v>4.5</v>
      </c>
      <c r="U46" s="22">
        <v>5</v>
      </c>
      <c r="V46" s="22"/>
      <c r="W46" s="26">
        <v>2.25</v>
      </c>
      <c r="X46" s="22"/>
      <c r="Y46" s="22"/>
      <c r="Z46" s="22"/>
      <c r="AA46" s="22"/>
      <c r="AB46" s="22">
        <v>1</v>
      </c>
      <c r="AC46" s="22">
        <v>1</v>
      </c>
      <c r="AD46" s="36">
        <v>0.8</v>
      </c>
      <c r="AE46" s="22">
        <v>2.5</v>
      </c>
      <c r="AF46" s="22"/>
      <c r="AG46" s="27"/>
      <c r="AH46" s="28">
        <f t="shared" si="35"/>
        <v>17.05</v>
      </c>
      <c r="AI46" s="38">
        <v>20</v>
      </c>
      <c r="AJ46" s="22"/>
      <c r="AK46" s="22"/>
      <c r="AL46" s="22"/>
      <c r="AM46" s="42"/>
      <c r="AN46" s="30">
        <f t="shared" si="36"/>
        <v>20</v>
      </c>
      <c r="AO46" s="39"/>
      <c r="AP46" s="40"/>
      <c r="AQ46" s="33">
        <f t="shared" si="4"/>
        <v>0</v>
      </c>
      <c r="AR46" s="34">
        <f t="shared" si="28"/>
        <v>52.05</v>
      </c>
      <c r="AS46" s="370">
        <f t="shared" si="29"/>
        <v>0</v>
      </c>
      <c r="AT46" s="355">
        <v>37.266666666666666</v>
      </c>
      <c r="AU46" s="356">
        <f t="shared" si="30"/>
        <v>10.666666666666666</v>
      </c>
      <c r="AV46" s="357">
        <f t="shared" si="31"/>
        <v>13.333333333333334</v>
      </c>
      <c r="AW46" s="358">
        <f t="shared" si="32"/>
        <v>0</v>
      </c>
      <c r="AX46" s="356">
        <f t="shared" si="19"/>
        <v>13.266666666666667</v>
      </c>
      <c r="AY46" s="359">
        <f t="shared" si="37"/>
        <v>0.44568245125348188</v>
      </c>
      <c r="AZ46" s="360">
        <f t="shared" si="38"/>
        <v>0.55431754874651817</v>
      </c>
      <c r="BA46" s="287">
        <v>2235435</v>
      </c>
      <c r="BB46" s="287">
        <f t="shared" si="14"/>
        <v>42947.838616714696</v>
      </c>
    </row>
    <row r="47" spans="1:54" ht="15.75" thickBot="1" x14ac:dyDescent="0.3">
      <c r="A47" s="17" t="s">
        <v>160</v>
      </c>
      <c r="B47" s="17" t="s">
        <v>161</v>
      </c>
      <c r="C47" s="18" t="s">
        <v>61</v>
      </c>
      <c r="D47" s="18"/>
      <c r="E47" s="18"/>
      <c r="F47" s="18"/>
      <c r="G47" s="19"/>
      <c r="H47" s="19" t="s">
        <v>57</v>
      </c>
      <c r="I47" s="20"/>
      <c r="J47" s="20"/>
      <c r="K47" s="19"/>
      <c r="L47" s="21">
        <v>54.2</v>
      </c>
      <c r="M47" s="22">
        <v>13</v>
      </c>
      <c r="N47" s="22"/>
      <c r="O47" s="22"/>
      <c r="P47" s="22"/>
      <c r="Q47" s="22"/>
      <c r="R47" s="23" t="str">
        <f t="shared" si="0"/>
        <v/>
      </c>
      <c r="S47" s="24">
        <f t="shared" si="1"/>
        <v>13</v>
      </c>
      <c r="T47" s="25">
        <f>IF($C47="",0,VLOOKUP($C47,'[1]Hoja 1'!$C$11:$D$27,2,FALSE)*M47)+IF($D47="",0,VLOOKUP($D47,'[1]Hoja 1'!$C$11:$D$27,2,FALSE)*N47)+IF($F47="",0,VLOOKUP($F47,'[1]Hoja 1'!$C$11:$D$27,2,FALSE)*P47)+IF(R47="",0,R47*0.5)</f>
        <v>6.5</v>
      </c>
      <c r="U47" s="22" t="str">
        <f>IF(G47="x",4,"")</f>
        <v/>
      </c>
      <c r="V47" s="22"/>
      <c r="W47" s="26">
        <v>2.25</v>
      </c>
      <c r="X47" s="22"/>
      <c r="Y47" s="22"/>
      <c r="Z47" s="22"/>
      <c r="AA47" s="22"/>
      <c r="AB47" s="22">
        <v>1</v>
      </c>
      <c r="AC47" s="22">
        <v>1</v>
      </c>
      <c r="AD47" s="36"/>
      <c r="AE47" s="22"/>
      <c r="AF47" s="22">
        <v>4.5</v>
      </c>
      <c r="AG47" s="27" t="s">
        <v>162</v>
      </c>
      <c r="AH47" s="28">
        <f>SUM(T47:AG47)</f>
        <v>15.25</v>
      </c>
      <c r="AI47" s="38"/>
      <c r="AJ47" s="22">
        <v>26</v>
      </c>
      <c r="AK47" s="22"/>
      <c r="AL47" s="22"/>
      <c r="AM47" s="42"/>
      <c r="AN47" s="30">
        <f t="shared" si="36"/>
        <v>26</v>
      </c>
      <c r="AO47" s="39"/>
      <c r="AP47" s="40"/>
      <c r="AQ47" s="33">
        <f t="shared" si="4"/>
        <v>0</v>
      </c>
      <c r="AR47" s="34">
        <f t="shared" si="28"/>
        <v>54.25</v>
      </c>
      <c r="AS47" s="370">
        <f t="shared" si="29"/>
        <v>-4.9999999999997158E-2</v>
      </c>
      <c r="AT47" s="355">
        <v>39.233333333333334</v>
      </c>
      <c r="AU47" s="356">
        <f t="shared" si="30"/>
        <v>9.3333333333333339</v>
      </c>
      <c r="AV47" s="357">
        <f t="shared" si="31"/>
        <v>17.333333333333332</v>
      </c>
      <c r="AW47" s="358">
        <f t="shared" si="32"/>
        <v>0</v>
      </c>
      <c r="AX47" s="356">
        <f t="shared" si="19"/>
        <v>12.566666666666666</v>
      </c>
      <c r="AY47" s="359">
        <f t="shared" si="37"/>
        <v>0.42617960426179607</v>
      </c>
      <c r="AZ47" s="360">
        <f t="shared" si="38"/>
        <v>0.57382039573820398</v>
      </c>
      <c r="BA47" s="287">
        <v>2905343</v>
      </c>
      <c r="BB47" s="287">
        <f t="shared" si="14"/>
        <v>53604.114391143907</v>
      </c>
    </row>
    <row r="48" spans="1:54" ht="15.75" thickBot="1" x14ac:dyDescent="0.3">
      <c r="A48" s="17" t="s">
        <v>163</v>
      </c>
      <c r="B48" s="17" t="s">
        <v>164</v>
      </c>
      <c r="C48" s="18" t="s">
        <v>61</v>
      </c>
      <c r="D48" s="18"/>
      <c r="E48" s="18"/>
      <c r="F48" s="18"/>
      <c r="G48" s="19" t="s">
        <v>57</v>
      </c>
      <c r="H48" s="19"/>
      <c r="I48" s="20"/>
      <c r="J48" s="20"/>
      <c r="K48" s="19"/>
      <c r="L48" s="21">
        <v>34.25</v>
      </c>
      <c r="M48" s="22">
        <v>15</v>
      </c>
      <c r="N48" s="22"/>
      <c r="O48" s="22"/>
      <c r="P48" s="22"/>
      <c r="Q48" s="22"/>
      <c r="R48" s="23">
        <f t="shared" si="0"/>
        <v>1</v>
      </c>
      <c r="S48" s="24">
        <f t="shared" si="1"/>
        <v>16</v>
      </c>
      <c r="T48" s="25">
        <f>IF($C48="",0,VLOOKUP($C48,'[1]Hoja 1'!$C$11:$D$27,2,FALSE)*M48)+IF($D48="",0,VLOOKUP($D48,'[1]Hoja 1'!$C$11:$D$27,2,FALSE)*N48)+IF($F48="",0,VLOOKUP($F48,'[1]Hoja 1'!$C$11:$D$27,2,FALSE)*P48)+IF(R48="",0,R48*0.5)</f>
        <v>8</v>
      </c>
      <c r="U48" s="22">
        <f>IF(G48="x",4,"")</f>
        <v>4</v>
      </c>
      <c r="V48" s="22">
        <v>4</v>
      </c>
      <c r="W48" s="26">
        <v>2.25</v>
      </c>
      <c r="X48" s="22"/>
      <c r="Y48" s="22"/>
      <c r="Z48" s="22"/>
      <c r="AA48" s="22"/>
      <c r="AB48" s="22"/>
      <c r="AC48" s="22"/>
      <c r="AD48" s="36"/>
      <c r="AE48" s="22"/>
      <c r="AF48" s="22"/>
      <c r="AG48" s="27"/>
      <c r="AH48" s="28">
        <f t="shared" ref="AH48:AH52" si="39">SUM(T48:AF48)</f>
        <v>18.25</v>
      </c>
      <c r="AI48" s="38"/>
      <c r="AJ48" s="22"/>
      <c r="AK48" s="22"/>
      <c r="AL48" s="22"/>
      <c r="AM48" s="42"/>
      <c r="AN48" s="30">
        <f t="shared" si="36"/>
        <v>0</v>
      </c>
      <c r="AO48" s="39"/>
      <c r="AP48" s="40"/>
      <c r="AQ48" s="33">
        <f t="shared" si="4"/>
        <v>0</v>
      </c>
      <c r="AR48" s="34">
        <f t="shared" si="28"/>
        <v>34.25</v>
      </c>
      <c r="AS48" s="370">
        <f t="shared" si="29"/>
        <v>0</v>
      </c>
      <c r="AT48" s="355">
        <v>26.266666666666666</v>
      </c>
      <c r="AU48" s="356">
        <f t="shared" si="30"/>
        <v>10.666666666666666</v>
      </c>
      <c r="AV48" s="357">
        <f t="shared" si="31"/>
        <v>0</v>
      </c>
      <c r="AW48" s="358">
        <f t="shared" si="32"/>
        <v>0</v>
      </c>
      <c r="AX48" s="356">
        <f t="shared" si="19"/>
        <v>15.6</v>
      </c>
      <c r="AY48" s="359">
        <f t="shared" si="37"/>
        <v>0.40609137055837563</v>
      </c>
      <c r="AZ48" s="360">
        <f t="shared" si="38"/>
        <v>0.59390862944162437</v>
      </c>
      <c r="BA48" s="287">
        <v>1405303</v>
      </c>
      <c r="BB48" s="287">
        <f t="shared" si="14"/>
        <v>41030.744525547445</v>
      </c>
    </row>
    <row r="49" spans="1:54" ht="15.75" thickBot="1" x14ac:dyDescent="0.3">
      <c r="A49" s="17" t="s">
        <v>165</v>
      </c>
      <c r="B49" s="17" t="s">
        <v>166</v>
      </c>
      <c r="C49" s="18" t="s">
        <v>80</v>
      </c>
      <c r="D49" s="18"/>
      <c r="E49" s="18"/>
      <c r="F49" s="18"/>
      <c r="G49" s="19"/>
      <c r="H49" s="19"/>
      <c r="I49" s="20"/>
      <c r="J49" s="20"/>
      <c r="K49" s="19"/>
      <c r="L49" s="21">
        <v>49.63</v>
      </c>
      <c r="M49" s="22">
        <v>35.75</v>
      </c>
      <c r="N49" s="22"/>
      <c r="O49" s="22"/>
      <c r="P49" s="22"/>
      <c r="Q49" s="22"/>
      <c r="R49" s="23" t="str">
        <f t="shared" si="0"/>
        <v/>
      </c>
      <c r="S49" s="24">
        <f t="shared" si="1"/>
        <v>35.75</v>
      </c>
      <c r="T49" s="25">
        <v>11.625</v>
      </c>
      <c r="U49" s="22" t="str">
        <f>IF(G49="x",4,"")</f>
        <v/>
      </c>
      <c r="V49" s="22"/>
      <c r="W49" s="26">
        <v>2.25</v>
      </c>
      <c r="X49" s="22"/>
      <c r="Y49" s="22"/>
      <c r="Z49" s="22"/>
      <c r="AA49" s="22"/>
      <c r="AB49" s="22"/>
      <c r="AC49" s="22"/>
      <c r="AD49" s="36"/>
      <c r="AE49" s="22"/>
      <c r="AF49" s="22"/>
      <c r="AG49" s="27"/>
      <c r="AH49" s="28">
        <f t="shared" si="39"/>
        <v>13.875</v>
      </c>
      <c r="AI49" s="38"/>
      <c r="AJ49" s="22"/>
      <c r="AK49" s="22"/>
      <c r="AL49" s="22"/>
      <c r="AM49" s="42"/>
      <c r="AN49" s="30">
        <f t="shared" si="36"/>
        <v>0</v>
      </c>
      <c r="AO49" s="39"/>
      <c r="AP49" s="40"/>
      <c r="AQ49" s="33">
        <f t="shared" si="4"/>
        <v>0</v>
      </c>
      <c r="AR49" s="34">
        <f t="shared" si="28"/>
        <v>49.625</v>
      </c>
      <c r="AS49" s="370">
        <f t="shared" si="29"/>
        <v>5.000000000002558E-3</v>
      </c>
      <c r="AT49" s="355">
        <v>33.594999999999999</v>
      </c>
      <c r="AU49" s="356">
        <f t="shared" si="30"/>
        <v>23.833333333333332</v>
      </c>
      <c r="AV49" s="376">
        <f t="shared" si="31"/>
        <v>0</v>
      </c>
      <c r="AW49" s="358">
        <f t="shared" si="32"/>
        <v>0</v>
      </c>
      <c r="AX49" s="356">
        <f t="shared" si="19"/>
        <v>9.7616666666666667</v>
      </c>
      <c r="AY49" s="359">
        <f t="shared" si="20"/>
        <v>0.70943096690975838</v>
      </c>
      <c r="AZ49" s="360">
        <f t="shared" si="21"/>
        <v>0.29056903309024162</v>
      </c>
      <c r="BA49" s="287">
        <v>1488900</v>
      </c>
      <c r="BB49" s="287">
        <f t="shared" si="14"/>
        <v>30000</v>
      </c>
    </row>
    <row r="50" spans="1:54" ht="15.75" thickBot="1" x14ac:dyDescent="0.3">
      <c r="A50" s="17" t="s">
        <v>167</v>
      </c>
      <c r="B50" s="17" t="s">
        <v>168</v>
      </c>
      <c r="C50" s="18" t="s">
        <v>54</v>
      </c>
      <c r="D50" s="18"/>
      <c r="E50" s="18"/>
      <c r="F50" s="18"/>
      <c r="G50" s="19"/>
      <c r="H50" s="19"/>
      <c r="I50" s="20"/>
      <c r="J50" s="20"/>
      <c r="K50" s="19"/>
      <c r="L50" s="21">
        <v>11.25</v>
      </c>
      <c r="M50" s="22">
        <v>6</v>
      </c>
      <c r="N50" s="22"/>
      <c r="O50" s="22"/>
      <c r="P50" s="22"/>
      <c r="Q50" s="22"/>
      <c r="R50" s="23" t="str">
        <f t="shared" si="0"/>
        <v/>
      </c>
      <c r="S50" s="24">
        <f t="shared" si="1"/>
        <v>6</v>
      </c>
      <c r="T50" s="25">
        <f>IF($C50="",0,VLOOKUP($C50,'[1]Hoja 1'!$C$11:$D$27,2,FALSE)*M50)+IF($D50="",0,VLOOKUP($D50,'[1]Hoja 1'!$C$11:$D$27,2,FALSE)*N50)+IF($F50="",0,VLOOKUP($F50,'[1]Hoja 1'!$C$11:$D$27,2,FALSE)*P50)+IF(R50="",0,R50*0.5)</f>
        <v>3</v>
      </c>
      <c r="U50" s="22" t="str">
        <f>IF(G50="x",4,"")</f>
        <v/>
      </c>
      <c r="V50" s="22"/>
      <c r="W50" s="26">
        <v>2.25</v>
      </c>
      <c r="X50" s="22"/>
      <c r="Y50" s="22"/>
      <c r="Z50" s="22"/>
      <c r="AA50" s="22"/>
      <c r="AB50" s="22"/>
      <c r="AC50" s="22"/>
      <c r="AD50" s="36"/>
      <c r="AE50" s="22"/>
      <c r="AF50" s="22"/>
      <c r="AG50" s="27"/>
      <c r="AH50" s="28">
        <f t="shared" si="39"/>
        <v>5.25</v>
      </c>
      <c r="AI50" s="38"/>
      <c r="AJ50" s="22"/>
      <c r="AK50" s="22"/>
      <c r="AL50" s="22"/>
      <c r="AM50" s="42"/>
      <c r="AN50" s="30">
        <f t="shared" si="36"/>
        <v>0</v>
      </c>
      <c r="AO50" s="39"/>
      <c r="AP50" s="40"/>
      <c r="AQ50" s="33">
        <f t="shared" si="4"/>
        <v>0</v>
      </c>
      <c r="AR50" s="34">
        <f t="shared" si="28"/>
        <v>11.25</v>
      </c>
      <c r="AS50" s="370">
        <f t="shared" si="29"/>
        <v>0</v>
      </c>
      <c r="AT50" s="355">
        <v>8.1</v>
      </c>
      <c r="AU50" s="356">
        <f t="shared" si="30"/>
        <v>4</v>
      </c>
      <c r="AV50" s="357">
        <f t="shared" si="31"/>
        <v>0</v>
      </c>
      <c r="AW50" s="358">
        <f t="shared" si="32"/>
        <v>0</v>
      </c>
      <c r="AX50" s="356">
        <f t="shared" si="19"/>
        <v>4.0999999999999996</v>
      </c>
      <c r="AY50" s="359">
        <f t="shared" si="20"/>
        <v>0.49382716049382719</v>
      </c>
      <c r="AZ50" s="360">
        <f t="shared" si="21"/>
        <v>0.50617283950617287</v>
      </c>
      <c r="BA50" s="287">
        <v>441587</v>
      </c>
      <c r="BB50" s="287">
        <f t="shared" si="14"/>
        <v>39252.177777777775</v>
      </c>
    </row>
    <row r="51" spans="1:54" ht="15.75" thickBot="1" x14ac:dyDescent="0.3">
      <c r="A51" s="17" t="s">
        <v>169</v>
      </c>
      <c r="B51" s="17" t="s">
        <v>170</v>
      </c>
      <c r="C51" s="18" t="s">
        <v>64</v>
      </c>
      <c r="D51" s="18"/>
      <c r="E51" s="18"/>
      <c r="F51" s="18"/>
      <c r="G51" s="19" t="s">
        <v>57</v>
      </c>
      <c r="H51" s="19"/>
      <c r="I51" s="20"/>
      <c r="J51" s="20"/>
      <c r="K51" s="19"/>
      <c r="L51" s="21">
        <v>44.05</v>
      </c>
      <c r="M51" s="22">
        <v>19</v>
      </c>
      <c r="N51" s="22"/>
      <c r="O51" s="22"/>
      <c r="P51" s="22"/>
      <c r="Q51" s="22">
        <v>2</v>
      </c>
      <c r="R51" s="23">
        <f t="shared" si="0"/>
        <v>1</v>
      </c>
      <c r="S51" s="24">
        <f t="shared" si="1"/>
        <v>22</v>
      </c>
      <c r="T51" s="25">
        <f>IF($C51="",0,VLOOKUP($C51,'[1]Hoja 1'!$C$11:$D$27,2,FALSE)*M51)+IF($D51="",0,VLOOKUP($D51,'[1]Hoja 1'!$C$11:$D$27,2,FALSE)*N51)+IF($F51="",0,VLOOKUP($F51,'[1]Hoja 1'!$C$11:$D$27,2,FALSE)*P51)+IF(R51="",0,R51*0.5)</f>
        <v>10</v>
      </c>
      <c r="U51" s="22">
        <v>5</v>
      </c>
      <c r="V51" s="22"/>
      <c r="W51" s="26">
        <v>2.25</v>
      </c>
      <c r="X51" s="22"/>
      <c r="Y51" s="22"/>
      <c r="Z51" s="22"/>
      <c r="AA51" s="22"/>
      <c r="AB51" s="22">
        <v>3</v>
      </c>
      <c r="AC51" s="22">
        <v>1</v>
      </c>
      <c r="AD51" s="36">
        <v>0.8</v>
      </c>
      <c r="AE51" s="22"/>
      <c r="AF51" s="22"/>
      <c r="AG51" s="27"/>
      <c r="AH51" s="28">
        <f t="shared" si="39"/>
        <v>22.05</v>
      </c>
      <c r="AI51" s="38"/>
      <c r="AJ51" s="22"/>
      <c r="AK51" s="22"/>
      <c r="AL51" s="22"/>
      <c r="AM51" s="42"/>
      <c r="AN51" s="30">
        <f t="shared" si="36"/>
        <v>0</v>
      </c>
      <c r="AO51" s="39"/>
      <c r="AP51" s="40"/>
      <c r="AQ51" s="33">
        <f t="shared" si="4"/>
        <v>0</v>
      </c>
      <c r="AR51" s="34">
        <f t="shared" si="28"/>
        <v>44.05</v>
      </c>
      <c r="AS51" s="370">
        <f t="shared" si="29"/>
        <v>0</v>
      </c>
      <c r="AT51" s="355">
        <v>32.416666666666664</v>
      </c>
      <c r="AU51" s="356">
        <f t="shared" si="30"/>
        <v>16.666666666666668</v>
      </c>
      <c r="AV51" s="357">
        <f t="shared" si="31"/>
        <v>0</v>
      </c>
      <c r="AW51" s="358">
        <f t="shared" si="32"/>
        <v>0</v>
      </c>
      <c r="AX51" s="356">
        <f t="shared" si="19"/>
        <v>15.749999999999996</v>
      </c>
      <c r="AY51" s="359">
        <f t="shared" si="20"/>
        <v>0.51413881748071988</v>
      </c>
      <c r="AZ51" s="360">
        <f t="shared" si="21"/>
        <v>0.48586118251928012</v>
      </c>
      <c r="BA51" s="287">
        <v>1630259</v>
      </c>
      <c r="BB51" s="287">
        <f t="shared" si="14"/>
        <v>37009.284903518732</v>
      </c>
    </row>
    <row r="52" spans="1:54" ht="15.75" thickBot="1" x14ac:dyDescent="0.3">
      <c r="A52" s="17" t="s">
        <v>171</v>
      </c>
      <c r="B52" s="17" t="s">
        <v>172</v>
      </c>
      <c r="C52" s="18" t="s">
        <v>54</v>
      </c>
      <c r="D52" s="18"/>
      <c r="E52" s="18"/>
      <c r="F52" s="18"/>
      <c r="G52" s="19"/>
      <c r="H52" s="19"/>
      <c r="I52" s="20"/>
      <c r="J52" s="20"/>
      <c r="K52" s="19"/>
      <c r="L52" s="21">
        <v>6</v>
      </c>
      <c r="M52" s="22">
        <v>4</v>
      </c>
      <c r="N52" s="22"/>
      <c r="O52" s="22"/>
      <c r="P52" s="22"/>
      <c r="Q52" s="22"/>
      <c r="R52" s="23"/>
      <c r="S52" s="24">
        <f t="shared" si="1"/>
        <v>4</v>
      </c>
      <c r="T52" s="25">
        <f>IF($C52="",0,VLOOKUP($C52,'[1]Hoja 1'!$C$11:$D$27,2,FALSE)*M52)+IF($D52="",0,VLOOKUP($D52,'[1]Hoja 1'!$C$11:$D$27,2,FALSE)*N52)+IF($F52="",0,VLOOKUP($F52,'[1]Hoja 1'!$C$11:$D$27,2,FALSE)*P52)+IF(R52="",0,R52*0.5)</f>
        <v>2</v>
      </c>
      <c r="U52" s="22"/>
      <c r="V52" s="22"/>
      <c r="W52" s="26"/>
      <c r="X52" s="22"/>
      <c r="Y52" s="22"/>
      <c r="Z52" s="22"/>
      <c r="AA52" s="22"/>
      <c r="AB52" s="22"/>
      <c r="AC52" s="22"/>
      <c r="AD52" s="36"/>
      <c r="AE52" s="22"/>
      <c r="AF52" s="22"/>
      <c r="AG52" s="27"/>
      <c r="AH52" s="28">
        <f t="shared" si="39"/>
        <v>2</v>
      </c>
      <c r="AI52" s="38"/>
      <c r="AJ52" s="22"/>
      <c r="AK52" s="22"/>
      <c r="AL52" s="22"/>
      <c r="AM52" s="42"/>
      <c r="AN52" s="30">
        <f t="shared" si="36"/>
        <v>0</v>
      </c>
      <c r="AO52" s="39"/>
      <c r="AP52" s="40"/>
      <c r="AQ52" s="33">
        <f t="shared" si="4"/>
        <v>0</v>
      </c>
      <c r="AR52" s="34">
        <f t="shared" si="28"/>
        <v>6</v>
      </c>
      <c r="AS52" s="370">
        <f t="shared" si="29"/>
        <v>0</v>
      </c>
      <c r="AT52" s="355">
        <v>4</v>
      </c>
      <c r="AU52" s="356">
        <f t="shared" si="30"/>
        <v>2.6666666666666665</v>
      </c>
      <c r="AV52" s="357">
        <f t="shared" si="31"/>
        <v>0</v>
      </c>
      <c r="AW52" s="358">
        <f t="shared" si="32"/>
        <v>0</v>
      </c>
      <c r="AX52" s="356">
        <f t="shared" si="19"/>
        <v>1.3333333333333335</v>
      </c>
      <c r="AY52" s="359">
        <f t="shared" si="20"/>
        <v>0.66666666666666663</v>
      </c>
      <c r="AZ52" s="360">
        <f t="shared" si="21"/>
        <v>0.33333333333333337</v>
      </c>
      <c r="BA52" s="287">
        <v>782308</v>
      </c>
      <c r="BB52" s="287">
        <f t="shared" si="14"/>
        <v>130384.66666666667</v>
      </c>
    </row>
    <row r="53" spans="1:54" ht="15.75" thickBot="1" x14ac:dyDescent="0.3">
      <c r="A53" s="17" t="s">
        <v>173</v>
      </c>
      <c r="B53" s="17" t="s">
        <v>174</v>
      </c>
      <c r="C53" s="18" t="s">
        <v>114</v>
      </c>
      <c r="D53" s="18"/>
      <c r="E53" s="18"/>
      <c r="F53" s="18"/>
      <c r="G53" s="19" t="s">
        <v>57</v>
      </c>
      <c r="H53" s="19"/>
      <c r="I53" s="20"/>
      <c r="J53" s="20"/>
      <c r="K53" s="19"/>
      <c r="L53" s="21">
        <v>48.75</v>
      </c>
      <c r="M53" s="22">
        <v>17</v>
      </c>
      <c r="N53" s="22"/>
      <c r="O53" s="22"/>
      <c r="P53" s="22"/>
      <c r="Q53" s="22">
        <v>10</v>
      </c>
      <c r="R53" s="23">
        <f t="shared" ref="R53:R100" si="40">IF(G53="x",1,"")</f>
        <v>1</v>
      </c>
      <c r="S53" s="24">
        <f t="shared" si="1"/>
        <v>28</v>
      </c>
      <c r="T53" s="25">
        <f>IF($C53="",0,VLOOKUP($C53,'[1]Hoja 1'!$C$11:$D$27,2,FALSE)*M53)+IF($D53="",0,VLOOKUP($D53,'[1]Hoja 1'!$C$11:$D$27,2,FALSE)*N53)+IF($F53="",0,VLOOKUP($F53,'[1]Hoja 1'!$C$11:$D$27,2,FALSE)*P53)+IF(R53="",0,R53*0.5)</f>
        <v>9</v>
      </c>
      <c r="U53" s="22">
        <v>5</v>
      </c>
      <c r="V53" s="22"/>
      <c r="W53" s="26">
        <v>2.25</v>
      </c>
      <c r="X53" s="22"/>
      <c r="Y53" s="22"/>
      <c r="Z53" s="22"/>
      <c r="AA53" s="22"/>
      <c r="AB53" s="22">
        <v>1</v>
      </c>
      <c r="AC53" s="22">
        <v>2</v>
      </c>
      <c r="AD53" s="36"/>
      <c r="AE53" s="22">
        <v>1.5</v>
      </c>
      <c r="AF53" s="22"/>
      <c r="AG53" s="27" t="s">
        <v>175</v>
      </c>
      <c r="AH53" s="28">
        <f>SUM(T53:AG53)</f>
        <v>20.75</v>
      </c>
      <c r="AI53" s="38"/>
      <c r="AJ53" s="22"/>
      <c r="AK53" s="22"/>
      <c r="AL53" s="22"/>
      <c r="AM53" s="42"/>
      <c r="AN53" s="30">
        <f t="shared" si="36"/>
        <v>0</v>
      </c>
      <c r="AO53" s="39"/>
      <c r="AP53" s="40"/>
      <c r="AQ53" s="33">
        <f t="shared" si="4"/>
        <v>0</v>
      </c>
      <c r="AR53" s="34">
        <f t="shared" si="28"/>
        <v>48.75</v>
      </c>
      <c r="AS53" s="370">
        <f t="shared" si="29"/>
        <v>0</v>
      </c>
      <c r="AT53" s="355">
        <v>34.483333333333334</v>
      </c>
      <c r="AU53" s="356">
        <f t="shared" si="30"/>
        <v>19.333333333333332</v>
      </c>
      <c r="AV53" s="357">
        <f t="shared" si="31"/>
        <v>0</v>
      </c>
      <c r="AW53" s="358">
        <f t="shared" si="32"/>
        <v>0</v>
      </c>
      <c r="AX53" s="356">
        <f t="shared" si="19"/>
        <v>15.150000000000002</v>
      </c>
      <c r="AY53" s="359">
        <f t="shared" si="20"/>
        <v>0.56065732237796029</v>
      </c>
      <c r="AZ53" s="360">
        <f t="shared" si="21"/>
        <v>0.43934267762203966</v>
      </c>
      <c r="BA53" s="287">
        <v>1413750</v>
      </c>
      <c r="BB53" s="287">
        <f t="shared" si="14"/>
        <v>29000</v>
      </c>
    </row>
    <row r="54" spans="1:54" ht="15.75" thickBot="1" x14ac:dyDescent="0.3">
      <c r="A54" s="17" t="s">
        <v>176</v>
      </c>
      <c r="B54" s="17" t="s">
        <v>177</v>
      </c>
      <c r="C54" s="18" t="s">
        <v>80</v>
      </c>
      <c r="D54" s="18"/>
      <c r="E54" s="18"/>
      <c r="F54" s="18"/>
      <c r="G54" s="19"/>
      <c r="H54" s="19"/>
      <c r="I54" s="20"/>
      <c r="J54" s="20"/>
      <c r="K54" s="19"/>
      <c r="L54" s="21">
        <v>49.63</v>
      </c>
      <c r="M54" s="22">
        <v>35.75</v>
      </c>
      <c r="N54" s="22"/>
      <c r="O54" s="22"/>
      <c r="P54" s="22"/>
      <c r="Q54" s="22"/>
      <c r="R54" s="23" t="str">
        <f t="shared" si="40"/>
        <v/>
      </c>
      <c r="S54" s="24">
        <f t="shared" si="1"/>
        <v>35.75</v>
      </c>
      <c r="T54" s="25">
        <v>11.625</v>
      </c>
      <c r="U54" s="22" t="str">
        <f>IF(G54="x",4,"")</f>
        <v/>
      </c>
      <c r="V54" s="22"/>
      <c r="W54" s="26">
        <v>2.25</v>
      </c>
      <c r="X54" s="22"/>
      <c r="Y54" s="22"/>
      <c r="Z54" s="22"/>
      <c r="AA54" s="22"/>
      <c r="AB54" s="22"/>
      <c r="AC54" s="22"/>
      <c r="AD54" s="36"/>
      <c r="AE54" s="22"/>
      <c r="AF54" s="22"/>
      <c r="AG54" s="27"/>
      <c r="AH54" s="28">
        <f>SUM(T54:AF54)</f>
        <v>13.875</v>
      </c>
      <c r="AI54" s="38"/>
      <c r="AJ54" s="22"/>
      <c r="AK54" s="22"/>
      <c r="AL54" s="22"/>
      <c r="AM54" s="42"/>
      <c r="AN54" s="30">
        <f t="shared" si="36"/>
        <v>0</v>
      </c>
      <c r="AO54" s="39"/>
      <c r="AP54" s="40"/>
      <c r="AQ54" s="33">
        <f t="shared" si="4"/>
        <v>0</v>
      </c>
      <c r="AR54" s="34">
        <f t="shared" si="28"/>
        <v>49.625</v>
      </c>
      <c r="AS54" s="370">
        <f t="shared" si="29"/>
        <v>5.000000000002558E-3</v>
      </c>
      <c r="AT54" s="355">
        <v>33.583333333333336</v>
      </c>
      <c r="AU54" s="356">
        <f t="shared" si="30"/>
        <v>23.833333333333332</v>
      </c>
      <c r="AV54" s="376">
        <f t="shared" si="31"/>
        <v>0</v>
      </c>
      <c r="AW54" s="358">
        <f t="shared" si="32"/>
        <v>0</v>
      </c>
      <c r="AX54" s="356">
        <f t="shared" si="19"/>
        <v>9.7500000000000036</v>
      </c>
      <c r="AY54" s="359">
        <f t="shared" si="20"/>
        <v>0.70967741935483863</v>
      </c>
      <c r="AZ54" s="360">
        <f t="shared" si="21"/>
        <v>0.29032258064516137</v>
      </c>
      <c r="BA54" s="287">
        <v>1373510</v>
      </c>
      <c r="BB54" s="287">
        <f t="shared" si="14"/>
        <v>27674.994962724159</v>
      </c>
    </row>
    <row r="55" spans="1:54" ht="15.75" thickBot="1" x14ac:dyDescent="0.3">
      <c r="A55" s="17" t="s">
        <v>178</v>
      </c>
      <c r="B55" s="17" t="s">
        <v>179</v>
      </c>
      <c r="C55" s="18" t="s">
        <v>180</v>
      </c>
      <c r="D55" s="18"/>
      <c r="E55" s="18"/>
      <c r="F55" s="18"/>
      <c r="G55" s="19"/>
      <c r="H55" s="19"/>
      <c r="I55" s="20"/>
      <c r="J55" s="20"/>
      <c r="K55" s="19"/>
      <c r="L55" s="21">
        <v>37.25</v>
      </c>
      <c r="M55" s="22">
        <v>10</v>
      </c>
      <c r="N55" s="22"/>
      <c r="O55" s="22"/>
      <c r="P55" s="22"/>
      <c r="Q55" s="22"/>
      <c r="R55" s="23" t="str">
        <f t="shared" si="40"/>
        <v/>
      </c>
      <c r="S55" s="24">
        <f t="shared" si="1"/>
        <v>10</v>
      </c>
      <c r="T55" s="25">
        <f>IF($C55="",0,VLOOKUP($C55,'[1]Hoja 1'!$C$11:$D$27,2,FALSE)*M55)+IF($D55="",0,VLOOKUP($D55,'[1]Hoja 1'!$C$11:$D$27,2,FALSE)*N55)+IF($F55="",0,VLOOKUP($F55,'[1]Hoja 1'!$C$11:$D$27,2,FALSE)*P55)+IF(R55="",0,R55*0.5)</f>
        <v>5</v>
      </c>
      <c r="U55" s="22" t="str">
        <f>IF(G55="x",4,"")</f>
        <v/>
      </c>
      <c r="V55" s="22"/>
      <c r="W55" s="26">
        <v>2.25</v>
      </c>
      <c r="X55" s="22"/>
      <c r="Y55" s="22">
        <v>11</v>
      </c>
      <c r="Z55" s="22"/>
      <c r="AA55" s="22"/>
      <c r="AB55" s="22">
        <v>3</v>
      </c>
      <c r="AC55" s="22">
        <v>4</v>
      </c>
      <c r="AD55" s="36"/>
      <c r="AE55" s="22"/>
      <c r="AF55" s="22"/>
      <c r="AG55" s="27" t="s">
        <v>1185</v>
      </c>
      <c r="AH55" s="28">
        <f>SUM(T55:AG55)</f>
        <v>25.25</v>
      </c>
      <c r="AI55" s="38"/>
      <c r="AJ55" s="22"/>
      <c r="AK55" s="22"/>
      <c r="AL55" s="22"/>
      <c r="AM55" s="42"/>
      <c r="AN55" s="30">
        <f t="shared" si="36"/>
        <v>0</v>
      </c>
      <c r="AO55" s="39">
        <v>2</v>
      </c>
      <c r="AP55" s="40" t="s">
        <v>181</v>
      </c>
      <c r="AQ55" s="33">
        <f t="shared" si="4"/>
        <v>2</v>
      </c>
      <c r="AR55" s="34">
        <f t="shared" si="28"/>
        <v>37.25</v>
      </c>
      <c r="AS55" s="370">
        <f t="shared" si="29"/>
        <v>0</v>
      </c>
      <c r="AT55" s="355">
        <v>26.216666666666665</v>
      </c>
      <c r="AU55" s="356">
        <f t="shared" si="30"/>
        <v>8.6666666666666661</v>
      </c>
      <c r="AV55" s="357">
        <f t="shared" si="31"/>
        <v>0</v>
      </c>
      <c r="AW55" s="358">
        <f t="shared" si="32"/>
        <v>1.3333333333333339</v>
      </c>
      <c r="AX55" s="356">
        <f t="shared" si="19"/>
        <v>16.216666666666661</v>
      </c>
      <c r="AY55" s="359">
        <f t="shared" si="20"/>
        <v>0.34829202947086413</v>
      </c>
      <c r="AZ55" s="360">
        <f t="shared" si="21"/>
        <v>0.65170797052913598</v>
      </c>
      <c r="BA55" s="287">
        <v>1812064</v>
      </c>
      <c r="BB55" s="287">
        <f t="shared" si="14"/>
        <v>48646.013422818789</v>
      </c>
    </row>
    <row r="56" spans="1:54" ht="15.75" thickBot="1" x14ac:dyDescent="0.3">
      <c r="A56" s="17" t="s">
        <v>182</v>
      </c>
      <c r="B56" s="17" t="s">
        <v>183</v>
      </c>
      <c r="C56" s="18" t="s">
        <v>56</v>
      </c>
      <c r="D56" s="18"/>
      <c r="E56" s="18"/>
      <c r="F56" s="18"/>
      <c r="G56" s="19" t="s">
        <v>57</v>
      </c>
      <c r="H56" s="19" t="s">
        <v>57</v>
      </c>
      <c r="I56" s="20"/>
      <c r="J56" s="20"/>
      <c r="K56" s="19"/>
      <c r="L56" s="21">
        <v>29.75</v>
      </c>
      <c r="M56" s="22">
        <v>6</v>
      </c>
      <c r="N56" s="22"/>
      <c r="O56" s="22"/>
      <c r="P56" s="22"/>
      <c r="Q56" s="22"/>
      <c r="R56" s="23">
        <f t="shared" si="40"/>
        <v>1</v>
      </c>
      <c r="S56" s="24">
        <f t="shared" si="1"/>
        <v>7</v>
      </c>
      <c r="T56" s="25">
        <f>IF($C56="",0,VLOOKUP($C56,'[1]Hoja 1'!$C$11:$D$27,2,FALSE)*M56)+IF($D56="",0,VLOOKUP($D56,'[1]Hoja 1'!$C$11:$D$27,2,FALSE)*N56)+IF($F56="",0,VLOOKUP($F56,'[1]Hoja 1'!$C$11:$D$27,2,FALSE)*P56)+IF(R56="",0,R56*0.5)</f>
        <v>3.5</v>
      </c>
      <c r="U56" s="22">
        <f>IF(G56="x",4,"")</f>
        <v>4</v>
      </c>
      <c r="V56" s="22">
        <v>4</v>
      </c>
      <c r="W56" s="26">
        <v>2.25</v>
      </c>
      <c r="X56" s="22"/>
      <c r="Y56" s="22"/>
      <c r="Z56" s="22"/>
      <c r="AA56" s="22"/>
      <c r="AB56" s="22">
        <v>1</v>
      </c>
      <c r="AC56" s="22"/>
      <c r="AD56" s="36"/>
      <c r="AE56" s="22"/>
      <c r="AF56" s="22"/>
      <c r="AG56" s="27"/>
      <c r="AH56" s="28">
        <f t="shared" ref="AH56:AH57" si="41">SUM(T56:AF56)</f>
        <v>14.75</v>
      </c>
      <c r="AI56" s="38"/>
      <c r="AJ56" s="22">
        <v>8</v>
      </c>
      <c r="AK56" s="22"/>
      <c r="AL56" s="22"/>
      <c r="AM56" s="42"/>
      <c r="AN56" s="30">
        <f t="shared" si="36"/>
        <v>8</v>
      </c>
      <c r="AO56" s="39"/>
      <c r="AP56" s="40"/>
      <c r="AQ56" s="33">
        <f t="shared" si="4"/>
        <v>0</v>
      </c>
      <c r="AR56" s="34">
        <f t="shared" si="28"/>
        <v>29.75</v>
      </c>
      <c r="AS56" s="370">
        <f t="shared" si="29"/>
        <v>0</v>
      </c>
      <c r="AT56" s="355">
        <v>25.133333333333333</v>
      </c>
      <c r="AU56" s="356">
        <f t="shared" si="30"/>
        <v>5.333333333333333</v>
      </c>
      <c r="AV56" s="357">
        <f t="shared" si="31"/>
        <v>5.333333333333333</v>
      </c>
      <c r="AW56" s="358">
        <f t="shared" si="32"/>
        <v>0</v>
      </c>
      <c r="AX56" s="356">
        <f t="shared" si="19"/>
        <v>14.466666666666669</v>
      </c>
      <c r="AY56" s="359">
        <f t="shared" si="20"/>
        <v>0.26936026936026936</v>
      </c>
      <c r="AZ56" s="360">
        <f t="shared" si="21"/>
        <v>0.73063973063973076</v>
      </c>
      <c r="BA56" s="287">
        <v>1459671</v>
      </c>
      <c r="BB56" s="287">
        <f t="shared" si="14"/>
        <v>49064.571428571428</v>
      </c>
    </row>
    <row r="57" spans="1:54" ht="15.75" thickBot="1" x14ac:dyDescent="0.3">
      <c r="A57" s="17" t="s">
        <v>184</v>
      </c>
      <c r="B57" s="17" t="s">
        <v>185</v>
      </c>
      <c r="C57" s="18" t="s">
        <v>47</v>
      </c>
      <c r="D57" s="18"/>
      <c r="E57" s="18"/>
      <c r="F57" s="18"/>
      <c r="G57" s="19" t="s">
        <v>57</v>
      </c>
      <c r="H57" s="19"/>
      <c r="I57" s="20"/>
      <c r="J57" s="20"/>
      <c r="K57" s="19"/>
      <c r="L57" s="21">
        <v>38.75</v>
      </c>
      <c r="M57" s="22">
        <v>14.66</v>
      </c>
      <c r="N57" s="22"/>
      <c r="O57" s="22"/>
      <c r="P57" s="22"/>
      <c r="Q57" s="22"/>
      <c r="R57" s="23">
        <f t="shared" si="40"/>
        <v>1</v>
      </c>
      <c r="S57" s="24">
        <f t="shared" si="1"/>
        <v>15.66</v>
      </c>
      <c r="T57" s="25">
        <f>IF($C57="",0,VLOOKUP($C57,'[1]Hoja 1'!$C$11:$D$27,2,FALSE)*M57)+IF($D57="",0,VLOOKUP($D57,'[1]Hoja 1'!$C$11:$D$27,2,FALSE)*N57)+IF($F57="",0,VLOOKUP($F57,'[1]Hoja 1'!$C$11:$D$27,2,FALSE)*P57)+IF(R57="",0,R57*0.5)</f>
        <v>7.83</v>
      </c>
      <c r="U57" s="22">
        <f>IF(G57="x",4,"")</f>
        <v>4</v>
      </c>
      <c r="V57" s="22">
        <v>4</v>
      </c>
      <c r="W57" s="26">
        <v>2.25</v>
      </c>
      <c r="X57" s="22"/>
      <c r="Y57" s="22"/>
      <c r="Z57" s="22"/>
      <c r="AA57" s="22"/>
      <c r="AB57" s="22">
        <v>4</v>
      </c>
      <c r="AC57" s="22">
        <v>1</v>
      </c>
      <c r="AD57" s="36"/>
      <c r="AE57" s="22"/>
      <c r="AF57" s="22"/>
      <c r="AG57" s="27"/>
      <c r="AH57" s="28">
        <f t="shared" si="41"/>
        <v>23.08</v>
      </c>
      <c r="AI57" s="38"/>
      <c r="AJ57" s="22"/>
      <c r="AK57" s="22"/>
      <c r="AL57" s="22"/>
      <c r="AM57" s="42"/>
      <c r="AN57" s="30">
        <f t="shared" si="36"/>
        <v>0</v>
      </c>
      <c r="AO57" s="39"/>
      <c r="AP57" s="40"/>
      <c r="AQ57" s="33">
        <f t="shared" si="4"/>
        <v>0</v>
      </c>
      <c r="AR57" s="34">
        <f t="shared" si="28"/>
        <v>38.739999999999995</v>
      </c>
      <c r="AS57" s="370">
        <f t="shared" si="29"/>
        <v>1.0000000000005116E-2</v>
      </c>
      <c r="AT57" s="355">
        <v>26.326666666666668</v>
      </c>
      <c r="AU57" s="356">
        <f t="shared" si="30"/>
        <v>13.106666666666666</v>
      </c>
      <c r="AV57" s="357">
        <f t="shared" si="31"/>
        <v>0</v>
      </c>
      <c r="AW57" s="358">
        <f t="shared" si="32"/>
        <v>0</v>
      </c>
      <c r="AX57" s="356">
        <f t="shared" si="19"/>
        <v>13.220000000000002</v>
      </c>
      <c r="AY57" s="359">
        <f t="shared" si="20"/>
        <v>0.49784755634337802</v>
      </c>
      <c r="AZ57" s="360">
        <f t="shared" si="21"/>
        <v>0.50215244365662204</v>
      </c>
      <c r="BA57" s="287">
        <v>2148111</v>
      </c>
      <c r="BB57" s="287">
        <f t="shared" si="14"/>
        <v>55435.122580645162</v>
      </c>
    </row>
    <row r="58" spans="1:54" ht="15.75" thickBot="1" x14ac:dyDescent="0.3">
      <c r="A58" s="17" t="s">
        <v>186</v>
      </c>
      <c r="B58" s="17" t="s">
        <v>187</v>
      </c>
      <c r="C58" s="18" t="s">
        <v>64</v>
      </c>
      <c r="D58" s="18"/>
      <c r="E58" s="18"/>
      <c r="F58" s="18"/>
      <c r="G58" s="19" t="s">
        <v>57</v>
      </c>
      <c r="H58" s="19"/>
      <c r="I58" s="20"/>
      <c r="J58" s="20"/>
      <c r="K58" s="19"/>
      <c r="L58" s="21">
        <v>47.75</v>
      </c>
      <c r="M58" s="22">
        <v>22</v>
      </c>
      <c r="N58" s="22"/>
      <c r="O58" s="22"/>
      <c r="P58" s="22"/>
      <c r="Q58" s="22">
        <v>4</v>
      </c>
      <c r="R58" s="23">
        <f t="shared" si="40"/>
        <v>1</v>
      </c>
      <c r="S58" s="24">
        <f t="shared" si="1"/>
        <v>27</v>
      </c>
      <c r="T58" s="25">
        <f>IF($C58="",0,VLOOKUP($C58,'[1]Hoja 1'!$C$11:$D$27,2,FALSE)*M58)+IF($D58="",0,VLOOKUP($D58,'[1]Hoja 1'!$C$11:$D$27,2,FALSE)*N58)+IF($F58="",0,VLOOKUP($F58,'[1]Hoja 1'!$C$11:$D$27,2,FALSE)*P58)+IF(R58="",0,R58*0.5)</f>
        <v>11.5</v>
      </c>
      <c r="U58" s="22">
        <v>5</v>
      </c>
      <c r="V58" s="22"/>
      <c r="W58" s="26">
        <v>2.25</v>
      </c>
      <c r="X58" s="22"/>
      <c r="Y58" s="22"/>
      <c r="Z58" s="22"/>
      <c r="AA58" s="22"/>
      <c r="AB58" s="22"/>
      <c r="AC58" s="22">
        <v>1</v>
      </c>
      <c r="AD58" s="36">
        <v>1</v>
      </c>
      <c r="AE58" s="22"/>
      <c r="AF58" s="22"/>
      <c r="AG58" s="27"/>
      <c r="AH58" s="28">
        <f t="shared" ref="AH58:AH100" si="42">SUM(T58:AF58)</f>
        <v>20.75</v>
      </c>
      <c r="AI58" s="38"/>
      <c r="AJ58" s="22"/>
      <c r="AK58" s="22"/>
      <c r="AL58" s="22"/>
      <c r="AM58" s="42"/>
      <c r="AN58" s="30">
        <f t="shared" si="36"/>
        <v>0</v>
      </c>
      <c r="AO58" s="39"/>
      <c r="AP58" s="40"/>
      <c r="AQ58" s="33">
        <f t="shared" si="4"/>
        <v>0</v>
      </c>
      <c r="AR58" s="34">
        <f t="shared" si="28"/>
        <v>47.75</v>
      </c>
      <c r="AS58" s="370">
        <f t="shared" si="29"/>
        <v>0</v>
      </c>
      <c r="AT58" s="355">
        <v>33.450000000000003</v>
      </c>
      <c r="AU58" s="356">
        <f t="shared" si="30"/>
        <v>18</v>
      </c>
      <c r="AV58" s="357">
        <f t="shared" si="31"/>
        <v>0</v>
      </c>
      <c r="AW58" s="358">
        <f t="shared" si="32"/>
        <v>0</v>
      </c>
      <c r="AX58" s="356">
        <f t="shared" si="19"/>
        <v>15.450000000000003</v>
      </c>
      <c r="AY58" s="359">
        <f t="shared" si="20"/>
        <v>0.53811659192825112</v>
      </c>
      <c r="AZ58" s="360">
        <f t="shared" si="21"/>
        <v>0.46188340807174894</v>
      </c>
      <c r="BA58" s="287">
        <v>1419369</v>
      </c>
      <c r="BB58" s="287">
        <f t="shared" si="14"/>
        <v>29725.005235602093</v>
      </c>
    </row>
    <row r="59" spans="1:54" ht="15.75" thickBot="1" x14ac:dyDescent="0.3">
      <c r="A59" s="17" t="s">
        <v>188</v>
      </c>
      <c r="B59" s="17" t="s">
        <v>189</v>
      </c>
      <c r="C59" s="18" t="s">
        <v>55</v>
      </c>
      <c r="D59" s="18" t="s">
        <v>61</v>
      </c>
      <c r="E59" s="18"/>
      <c r="F59" s="18"/>
      <c r="G59" s="19"/>
      <c r="H59" s="19"/>
      <c r="I59" s="20" t="s">
        <v>57</v>
      </c>
      <c r="J59" s="45" t="s">
        <v>155</v>
      </c>
      <c r="K59" s="19"/>
      <c r="L59" s="21">
        <v>44.35</v>
      </c>
      <c r="M59" s="22">
        <v>6</v>
      </c>
      <c r="N59" s="22">
        <v>2</v>
      </c>
      <c r="O59" s="22"/>
      <c r="P59" s="22"/>
      <c r="Q59" s="22"/>
      <c r="R59" s="23" t="str">
        <f t="shared" si="40"/>
        <v/>
      </c>
      <c r="S59" s="24">
        <f t="shared" si="1"/>
        <v>8</v>
      </c>
      <c r="T59" s="25">
        <f>IF($C59="",0,VLOOKUP($C59,'[1]Hoja 1'!$C$11:$D$27,2,FALSE)*M59)+IF($D59="",0,VLOOKUP($D59,'[1]Hoja 1'!$C$11:$D$27,2,FALSE)*N59)+IF($F59="",0,VLOOKUP($F59,'[1]Hoja 1'!$C$11:$D$27,2,FALSE)*P59)+IF(R59="",0,R59*0.5)</f>
        <v>4.5999999999999996</v>
      </c>
      <c r="U59" s="22" t="str">
        <f>IF(G59="x",4,"")</f>
        <v/>
      </c>
      <c r="V59" s="22"/>
      <c r="W59" s="26">
        <v>2.25</v>
      </c>
      <c r="X59" s="22"/>
      <c r="Y59" s="22"/>
      <c r="Z59" s="22"/>
      <c r="AA59" s="22"/>
      <c r="AB59" s="22"/>
      <c r="AC59" s="22"/>
      <c r="AD59" s="36"/>
      <c r="AE59" s="22">
        <v>2.5</v>
      </c>
      <c r="AF59" s="22"/>
      <c r="AG59" s="27"/>
      <c r="AH59" s="28">
        <f t="shared" si="42"/>
        <v>9.35</v>
      </c>
      <c r="AI59" s="38">
        <v>20</v>
      </c>
      <c r="AJ59" s="22"/>
      <c r="AK59" s="22"/>
      <c r="AL59" s="22">
        <v>3</v>
      </c>
      <c r="AM59" s="42" t="s">
        <v>190</v>
      </c>
      <c r="AN59" s="30">
        <f t="shared" si="36"/>
        <v>23</v>
      </c>
      <c r="AO59" s="39">
        <v>4</v>
      </c>
      <c r="AP59" s="40" t="s">
        <v>191</v>
      </c>
      <c r="AQ59" s="33">
        <f t="shared" si="4"/>
        <v>4</v>
      </c>
      <c r="AR59" s="34">
        <f t="shared" si="28"/>
        <v>44.35</v>
      </c>
      <c r="AS59" s="370">
        <f t="shared" si="29"/>
        <v>0</v>
      </c>
      <c r="AT59" s="355">
        <v>32.133333333333333</v>
      </c>
      <c r="AU59" s="356">
        <f t="shared" si="30"/>
        <v>5.333333333333333</v>
      </c>
      <c r="AV59" s="357">
        <f t="shared" si="31"/>
        <v>15.333333333333334</v>
      </c>
      <c r="AW59" s="358">
        <f t="shared" si="32"/>
        <v>2.6666666666666679</v>
      </c>
      <c r="AX59" s="356">
        <f t="shared" si="19"/>
        <v>8.7999999999999989</v>
      </c>
      <c r="AY59" s="359">
        <f t="shared" si="20"/>
        <v>0.37735849056603771</v>
      </c>
      <c r="AZ59" s="360">
        <f t="shared" si="21"/>
        <v>0.62264150943396224</v>
      </c>
      <c r="BA59" s="287">
        <v>2254559</v>
      </c>
      <c r="BB59" s="287">
        <f t="shared" si="14"/>
        <v>50835.603156708006</v>
      </c>
    </row>
    <row r="60" spans="1:54" ht="15.75" thickBot="1" x14ac:dyDescent="0.3">
      <c r="A60" s="17" t="s">
        <v>192</v>
      </c>
      <c r="B60" s="17" t="s">
        <v>193</v>
      </c>
      <c r="C60" s="18" t="s">
        <v>64</v>
      </c>
      <c r="D60" s="18"/>
      <c r="E60" s="18"/>
      <c r="F60" s="18"/>
      <c r="G60" s="19" t="s">
        <v>57</v>
      </c>
      <c r="H60" s="19"/>
      <c r="I60" s="20"/>
      <c r="J60" s="20"/>
      <c r="K60" s="19"/>
      <c r="L60" s="21">
        <v>42.25</v>
      </c>
      <c r="M60" s="22">
        <v>19</v>
      </c>
      <c r="N60" s="22"/>
      <c r="O60" s="22"/>
      <c r="P60" s="22"/>
      <c r="Q60" s="22">
        <v>2</v>
      </c>
      <c r="R60" s="23">
        <f t="shared" si="40"/>
        <v>1</v>
      </c>
      <c r="S60" s="24">
        <f t="shared" si="1"/>
        <v>22</v>
      </c>
      <c r="T60" s="25">
        <f>IF($C60="",0,VLOOKUP($C60,'[1]Hoja 1'!$C$11:$D$27,2,FALSE)*M60)+IF($D60="",0,VLOOKUP($D60,'[1]Hoja 1'!$C$11:$D$27,2,FALSE)*N60)+IF($F60="",0,VLOOKUP($F60,'[1]Hoja 1'!$C$11:$D$27,2,FALSE)*P60)+IF(R60="",0,R60*0.5)</f>
        <v>10</v>
      </c>
      <c r="U60" s="22">
        <v>5</v>
      </c>
      <c r="V60" s="22"/>
      <c r="W60" s="26">
        <v>2.25</v>
      </c>
      <c r="X60" s="22"/>
      <c r="Y60" s="22"/>
      <c r="Z60" s="22"/>
      <c r="AA60" s="22"/>
      <c r="AB60" s="22">
        <v>2</v>
      </c>
      <c r="AC60" s="22"/>
      <c r="AD60" s="36">
        <v>1</v>
      </c>
      <c r="AE60" s="22"/>
      <c r="AF60" s="22"/>
      <c r="AG60" s="27"/>
      <c r="AH60" s="28">
        <f t="shared" si="42"/>
        <v>20.25</v>
      </c>
      <c r="AI60" s="38"/>
      <c r="AJ60" s="22"/>
      <c r="AK60" s="22"/>
      <c r="AL60" s="22"/>
      <c r="AM60" s="42"/>
      <c r="AN60" s="30">
        <f t="shared" si="36"/>
        <v>0</v>
      </c>
      <c r="AO60" s="39"/>
      <c r="AP60" s="40"/>
      <c r="AQ60" s="33">
        <f t="shared" si="4"/>
        <v>0</v>
      </c>
      <c r="AR60" s="34">
        <f t="shared" si="28"/>
        <v>42.25</v>
      </c>
      <c r="AS60" s="370">
        <f t="shared" si="29"/>
        <v>0</v>
      </c>
      <c r="AT60" s="355">
        <v>31.4</v>
      </c>
      <c r="AU60" s="356">
        <f t="shared" si="30"/>
        <v>16</v>
      </c>
      <c r="AV60" s="357">
        <f t="shared" si="31"/>
        <v>0</v>
      </c>
      <c r="AW60" s="358">
        <f t="shared" si="32"/>
        <v>0</v>
      </c>
      <c r="AX60" s="356">
        <f t="shared" si="19"/>
        <v>15.399999999999999</v>
      </c>
      <c r="AY60" s="359">
        <f t="shared" si="20"/>
        <v>0.50955414012738853</v>
      </c>
      <c r="AZ60" s="360">
        <f t="shared" si="21"/>
        <v>0.49044585987261147</v>
      </c>
      <c r="BA60" s="287">
        <v>1504421</v>
      </c>
      <c r="BB60" s="287">
        <f t="shared" si="14"/>
        <v>35607.597633136094</v>
      </c>
    </row>
    <row r="61" spans="1:54" ht="15.75" thickBot="1" x14ac:dyDescent="0.3">
      <c r="A61" s="17" t="s">
        <v>194</v>
      </c>
      <c r="B61" s="17" t="s">
        <v>195</v>
      </c>
      <c r="C61" s="18" t="s">
        <v>126</v>
      </c>
      <c r="D61" s="18"/>
      <c r="E61" s="18"/>
      <c r="F61" s="18"/>
      <c r="G61" s="19" t="s">
        <v>57</v>
      </c>
      <c r="H61" s="19"/>
      <c r="I61" s="20"/>
      <c r="J61" s="20"/>
      <c r="K61" s="19"/>
      <c r="L61" s="21">
        <v>45</v>
      </c>
      <c r="M61" s="22">
        <v>14</v>
      </c>
      <c r="N61" s="22"/>
      <c r="O61" s="22"/>
      <c r="P61" s="22"/>
      <c r="Q61" s="22"/>
      <c r="R61" s="23">
        <f t="shared" si="40"/>
        <v>1</v>
      </c>
      <c r="S61" s="24">
        <f t="shared" si="1"/>
        <v>15</v>
      </c>
      <c r="T61" s="25">
        <f>IF($C61="",0,VLOOKUP($C61,'[1]Hoja 1'!$C$11:$D$27,2,FALSE)*M61)+IF($D61="",0,VLOOKUP($D61,'[1]Hoja 1'!$C$11:$D$27,2,FALSE)*N61)+IF($F61="",0,VLOOKUP($F61,'[1]Hoja 1'!$C$11:$D$27,2,FALSE)*P61)+IF(R61="",0,R61*0.5)</f>
        <v>7.5</v>
      </c>
      <c r="U61" s="22">
        <f>IF(G61="x",4,"")</f>
        <v>4</v>
      </c>
      <c r="V61" s="22">
        <v>4</v>
      </c>
      <c r="W61" s="26">
        <v>1.5</v>
      </c>
      <c r="X61" s="22"/>
      <c r="Y61" s="22"/>
      <c r="Z61" s="22"/>
      <c r="AA61" s="22"/>
      <c r="AB61" s="22">
        <v>1</v>
      </c>
      <c r="AC61" s="22"/>
      <c r="AD61" s="36"/>
      <c r="AE61" s="22"/>
      <c r="AF61" s="22">
        <v>12</v>
      </c>
      <c r="AG61" s="27" t="s">
        <v>136</v>
      </c>
      <c r="AH61" s="28">
        <f t="shared" si="42"/>
        <v>30</v>
      </c>
      <c r="AI61" s="38"/>
      <c r="AJ61" s="22"/>
      <c r="AK61" s="22"/>
      <c r="AL61" s="22"/>
      <c r="AM61" s="42"/>
      <c r="AN61" s="30">
        <f t="shared" si="36"/>
        <v>0</v>
      </c>
      <c r="AO61" s="39"/>
      <c r="AP61" s="40"/>
      <c r="AQ61" s="33">
        <f t="shared" si="4"/>
        <v>0</v>
      </c>
      <c r="AR61" s="34">
        <f t="shared" si="28"/>
        <v>45</v>
      </c>
      <c r="AS61" s="370">
        <f t="shared" si="29"/>
        <v>0</v>
      </c>
      <c r="AT61" s="355">
        <v>29.266666666666666</v>
      </c>
      <c r="AU61" s="356">
        <f t="shared" si="30"/>
        <v>10.666666666666666</v>
      </c>
      <c r="AV61" s="357">
        <f t="shared" si="31"/>
        <v>0</v>
      </c>
      <c r="AW61" s="358">
        <f t="shared" si="32"/>
        <v>0</v>
      </c>
      <c r="AX61" s="356">
        <f t="shared" si="19"/>
        <v>18.600000000000001</v>
      </c>
      <c r="AY61" s="359">
        <f t="shared" si="20"/>
        <v>0.36446469248291569</v>
      </c>
      <c r="AZ61" s="360">
        <f t="shared" si="21"/>
        <v>0.63553530751708431</v>
      </c>
      <c r="BA61" s="287">
        <v>2298854</v>
      </c>
      <c r="BB61" s="287">
        <f t="shared" si="14"/>
        <v>51085.644444444442</v>
      </c>
    </row>
    <row r="62" spans="1:54" ht="15.75" thickBot="1" x14ac:dyDescent="0.3">
      <c r="A62" s="17" t="s">
        <v>196</v>
      </c>
      <c r="B62" s="17" t="s">
        <v>197</v>
      </c>
      <c r="C62" s="18" t="s">
        <v>126</v>
      </c>
      <c r="D62" s="18"/>
      <c r="E62" s="18"/>
      <c r="F62" s="18"/>
      <c r="G62" s="19"/>
      <c r="H62" s="19"/>
      <c r="I62" s="20"/>
      <c r="J62" s="20"/>
      <c r="K62" s="19"/>
      <c r="L62" s="21">
        <v>36.5</v>
      </c>
      <c r="M62" s="22">
        <v>14</v>
      </c>
      <c r="N62" s="22"/>
      <c r="O62" s="22"/>
      <c r="P62" s="22"/>
      <c r="Q62" s="22"/>
      <c r="R62" s="23" t="str">
        <f t="shared" si="40"/>
        <v/>
      </c>
      <c r="S62" s="24">
        <f t="shared" si="1"/>
        <v>14</v>
      </c>
      <c r="T62" s="25">
        <f>IF($C62="",0,VLOOKUP($C62,'[1]Hoja 1'!$C$11:$D$27,2,FALSE)*M62)+IF($D62="",0,VLOOKUP($D62,'[1]Hoja 1'!$C$11:$D$27,2,FALSE)*N62)+IF($F62="",0,VLOOKUP($F62,'[1]Hoja 1'!$C$11:$D$27,2,FALSE)*P62)+IF(R62="",0,R62*0.5)</f>
        <v>7</v>
      </c>
      <c r="U62" s="22" t="str">
        <f>IF(G62="x",4,"")</f>
        <v/>
      </c>
      <c r="V62" s="22"/>
      <c r="W62" s="26">
        <v>1.5</v>
      </c>
      <c r="X62" s="22"/>
      <c r="Y62" s="22"/>
      <c r="Z62" s="22"/>
      <c r="AA62" s="22"/>
      <c r="AB62" s="22">
        <v>1</v>
      </c>
      <c r="AC62" s="22">
        <v>1</v>
      </c>
      <c r="AD62" s="36"/>
      <c r="AE62" s="22"/>
      <c r="AF62" s="22">
        <v>12</v>
      </c>
      <c r="AG62" s="27" t="s">
        <v>198</v>
      </c>
      <c r="AH62" s="28">
        <f t="shared" si="42"/>
        <v>22.5</v>
      </c>
      <c r="AI62" s="38"/>
      <c r="AJ62" s="22"/>
      <c r="AK62" s="22"/>
      <c r="AL62" s="22"/>
      <c r="AM62" s="42"/>
      <c r="AN62" s="30">
        <f t="shared" si="36"/>
        <v>0</v>
      </c>
      <c r="AO62" s="39"/>
      <c r="AP62" s="40"/>
      <c r="AQ62" s="33">
        <f t="shared" si="4"/>
        <v>0</v>
      </c>
      <c r="AR62" s="34">
        <f t="shared" si="28"/>
        <v>36.5</v>
      </c>
      <c r="AS62" s="370">
        <f t="shared" si="29"/>
        <v>0</v>
      </c>
      <c r="AT62" s="355">
        <v>24.25</v>
      </c>
      <c r="AU62" s="356">
        <f t="shared" si="30"/>
        <v>10</v>
      </c>
      <c r="AV62" s="357">
        <f t="shared" si="31"/>
        <v>0</v>
      </c>
      <c r="AW62" s="358">
        <f t="shared" si="32"/>
        <v>0</v>
      </c>
      <c r="AX62" s="356">
        <f t="shared" si="19"/>
        <v>14.25</v>
      </c>
      <c r="AY62" s="359">
        <f t="shared" si="20"/>
        <v>0.41237113402061853</v>
      </c>
      <c r="AZ62" s="360">
        <f t="shared" si="21"/>
        <v>0.58762886597938147</v>
      </c>
      <c r="BA62" s="287">
        <v>1168000</v>
      </c>
      <c r="BB62" s="287">
        <f t="shared" si="14"/>
        <v>32000</v>
      </c>
    </row>
    <row r="63" spans="1:54" ht="15.75" thickBot="1" x14ac:dyDescent="0.3">
      <c r="A63" s="17" t="s">
        <v>199</v>
      </c>
      <c r="B63" s="17" t="s">
        <v>200</v>
      </c>
      <c r="C63" s="18" t="s">
        <v>54</v>
      </c>
      <c r="D63" s="18"/>
      <c r="E63" s="18"/>
      <c r="F63" s="18"/>
      <c r="G63" s="19" t="s">
        <v>57</v>
      </c>
      <c r="H63" s="19"/>
      <c r="I63" s="20"/>
      <c r="J63" s="20"/>
      <c r="K63" s="19"/>
      <c r="L63" s="21">
        <v>34.75</v>
      </c>
      <c r="M63" s="22">
        <v>12</v>
      </c>
      <c r="N63" s="22"/>
      <c r="O63" s="22"/>
      <c r="P63" s="22"/>
      <c r="Q63" s="22"/>
      <c r="R63" s="23">
        <f t="shared" si="40"/>
        <v>1</v>
      </c>
      <c r="S63" s="24">
        <f t="shared" si="1"/>
        <v>13</v>
      </c>
      <c r="T63" s="25">
        <f>IF($C63="",0,VLOOKUP($C63,'[1]Hoja 1'!$C$11:$D$27,2,FALSE)*M63)+IF($D63="",0,VLOOKUP($D63,'[1]Hoja 1'!$C$11:$D$27,2,FALSE)*N63)+IF($F63="",0,VLOOKUP($F63,'[1]Hoja 1'!$C$11:$D$27,2,FALSE)*P63)+IF(R63="",0,R63*0.5)</f>
        <v>6.5</v>
      </c>
      <c r="U63" s="22">
        <f>IF(G63="x",4,"")</f>
        <v>4</v>
      </c>
      <c r="V63" s="22">
        <v>4</v>
      </c>
      <c r="W63" s="26">
        <v>2.25</v>
      </c>
      <c r="X63" s="22"/>
      <c r="Y63" s="22"/>
      <c r="Z63" s="22"/>
      <c r="AA63" s="22"/>
      <c r="AB63" s="22">
        <v>3</v>
      </c>
      <c r="AC63" s="22">
        <v>2</v>
      </c>
      <c r="AD63" s="36"/>
      <c r="AE63" s="22"/>
      <c r="AF63" s="22"/>
      <c r="AG63" s="27"/>
      <c r="AH63" s="28">
        <f t="shared" si="42"/>
        <v>21.75</v>
      </c>
      <c r="AI63" s="38"/>
      <c r="AJ63" s="22"/>
      <c r="AK63" s="22"/>
      <c r="AL63" s="22"/>
      <c r="AM63" s="42"/>
      <c r="AN63" s="30">
        <f t="shared" si="36"/>
        <v>0</v>
      </c>
      <c r="AO63" s="39"/>
      <c r="AP63" s="40"/>
      <c r="AQ63" s="33">
        <f t="shared" si="4"/>
        <v>0</v>
      </c>
      <c r="AR63" s="34">
        <f t="shared" si="28"/>
        <v>34.75</v>
      </c>
      <c r="AS63" s="370">
        <f t="shared" si="29"/>
        <v>0</v>
      </c>
      <c r="AT63" s="355">
        <v>25.266666666666666</v>
      </c>
      <c r="AU63" s="356">
        <f t="shared" si="30"/>
        <v>10.666666666666666</v>
      </c>
      <c r="AV63" s="357">
        <f t="shared" si="31"/>
        <v>0</v>
      </c>
      <c r="AW63" s="358">
        <f t="shared" si="32"/>
        <v>0</v>
      </c>
      <c r="AX63" s="356">
        <f t="shared" si="19"/>
        <v>14.6</v>
      </c>
      <c r="AY63" s="359">
        <f t="shared" si="20"/>
        <v>0.42216358839050133</v>
      </c>
      <c r="AZ63" s="360">
        <f t="shared" si="21"/>
        <v>0.57783641160949872</v>
      </c>
      <c r="BA63" s="287">
        <v>1461544</v>
      </c>
      <c r="BB63" s="287">
        <f t="shared" si="14"/>
        <v>42058.820143884892</v>
      </c>
    </row>
    <row r="64" spans="1:54" ht="15.75" thickBot="1" x14ac:dyDescent="0.3">
      <c r="A64" s="17" t="s">
        <v>201</v>
      </c>
      <c r="B64" s="17" t="s">
        <v>202</v>
      </c>
      <c r="C64" s="18" t="s">
        <v>64</v>
      </c>
      <c r="D64" s="18"/>
      <c r="E64" s="18"/>
      <c r="F64" s="18"/>
      <c r="G64" s="19" t="s">
        <v>57</v>
      </c>
      <c r="H64" s="19"/>
      <c r="I64" s="20"/>
      <c r="J64" s="20"/>
      <c r="K64" s="19"/>
      <c r="L64" s="21">
        <v>50.15</v>
      </c>
      <c r="M64" s="22">
        <v>22</v>
      </c>
      <c r="N64" s="22"/>
      <c r="O64" s="22"/>
      <c r="P64" s="22"/>
      <c r="Q64" s="22">
        <v>4</v>
      </c>
      <c r="R64" s="23">
        <f t="shared" si="40"/>
        <v>1</v>
      </c>
      <c r="S64" s="24">
        <f t="shared" si="1"/>
        <v>27</v>
      </c>
      <c r="T64" s="25">
        <f>IF($C64="",0,VLOOKUP($C64,'[1]Hoja 1'!$C$11:$D$27,2,FALSE)*M64)+IF($D64="",0,VLOOKUP($D64,'[1]Hoja 1'!$C$11:$D$27,2,FALSE)*N64)+IF($F64="",0,VLOOKUP($F64,'[1]Hoja 1'!$C$11:$D$27,2,FALSE)*P64)+IF(R64="",0,R64*0.5)</f>
        <v>11.5</v>
      </c>
      <c r="U64" s="22">
        <v>5</v>
      </c>
      <c r="V64" s="22"/>
      <c r="W64" s="26">
        <v>2.25</v>
      </c>
      <c r="X64" s="22"/>
      <c r="Y64" s="22"/>
      <c r="Z64" s="22"/>
      <c r="AA64" s="22"/>
      <c r="AB64" s="22">
        <v>1</v>
      </c>
      <c r="AC64" s="22">
        <v>2</v>
      </c>
      <c r="AD64" s="36">
        <v>1.4</v>
      </c>
      <c r="AE64" s="22"/>
      <c r="AF64" s="22"/>
      <c r="AG64" s="27"/>
      <c r="AH64" s="28">
        <f t="shared" si="42"/>
        <v>23.15</v>
      </c>
      <c r="AI64" s="38"/>
      <c r="AJ64" s="22"/>
      <c r="AK64" s="22"/>
      <c r="AL64" s="22"/>
      <c r="AM64" s="42"/>
      <c r="AN64" s="30">
        <f t="shared" si="36"/>
        <v>0</v>
      </c>
      <c r="AO64" s="39"/>
      <c r="AP64" s="40"/>
      <c r="AQ64" s="33">
        <f t="shared" si="4"/>
        <v>0</v>
      </c>
      <c r="AR64" s="34">
        <f t="shared" si="28"/>
        <v>50.15</v>
      </c>
      <c r="AS64" s="370">
        <f t="shared" si="29"/>
        <v>0</v>
      </c>
      <c r="AT64" s="355">
        <v>34.466666666666669</v>
      </c>
      <c r="AU64" s="356">
        <f t="shared" si="30"/>
        <v>18.666666666666668</v>
      </c>
      <c r="AV64" s="357">
        <f t="shared" si="31"/>
        <v>0</v>
      </c>
      <c r="AW64" s="358">
        <f t="shared" si="32"/>
        <v>0</v>
      </c>
      <c r="AX64" s="356">
        <f t="shared" si="19"/>
        <v>15.8</v>
      </c>
      <c r="AY64" s="359">
        <f t="shared" si="20"/>
        <v>0.5415860735009671</v>
      </c>
      <c r="AZ64" s="360">
        <f t="shared" si="21"/>
        <v>0.4584139264990329</v>
      </c>
      <c r="BA64" s="287">
        <v>2249716</v>
      </c>
      <c r="BB64" s="287">
        <f t="shared" si="14"/>
        <v>44859.740777667001</v>
      </c>
    </row>
    <row r="65" spans="1:54" ht="15.75" thickBot="1" x14ac:dyDescent="0.3">
      <c r="A65" s="17" t="s">
        <v>203</v>
      </c>
      <c r="B65" s="17" t="s">
        <v>204</v>
      </c>
      <c r="C65" s="18" t="s">
        <v>56</v>
      </c>
      <c r="D65" s="18"/>
      <c r="E65" s="18"/>
      <c r="F65" s="18"/>
      <c r="G65" s="19"/>
      <c r="H65" s="19"/>
      <c r="I65" s="20" t="s">
        <v>57</v>
      </c>
      <c r="J65" s="45" t="s">
        <v>205</v>
      </c>
      <c r="K65" s="19"/>
      <c r="L65" s="21">
        <v>43.75</v>
      </c>
      <c r="M65" s="22">
        <v>3</v>
      </c>
      <c r="N65" s="22"/>
      <c r="O65" s="22"/>
      <c r="P65" s="22"/>
      <c r="Q65" s="22"/>
      <c r="R65" s="23" t="str">
        <f t="shared" si="40"/>
        <v/>
      </c>
      <c r="S65" s="24">
        <f t="shared" si="1"/>
        <v>3</v>
      </c>
      <c r="T65" s="25">
        <f>IF($C65="",0,VLOOKUP($C65,'[1]Hoja 1'!$C$11:$D$27,2,FALSE)*M65)+IF($D65="",0,VLOOKUP($D65,'[1]Hoja 1'!$C$11:$D$27,2,FALSE)*N65)+IF($F65="",0,VLOOKUP($F65,'[1]Hoja 1'!$C$11:$D$27,2,FALSE)*P65)+IF(R65="",0,R65*0.5)</f>
        <v>1.5</v>
      </c>
      <c r="U65" s="22" t="str">
        <f t="shared" ref="U65:U75" si="43">IF(G65="x",4,"")</f>
        <v/>
      </c>
      <c r="V65" s="22"/>
      <c r="W65" s="26">
        <v>2.25</v>
      </c>
      <c r="X65" s="22"/>
      <c r="Y65" s="22"/>
      <c r="Z65" s="22"/>
      <c r="AA65" s="22"/>
      <c r="AB65" s="22"/>
      <c r="AC65" s="22"/>
      <c r="AD65" s="36"/>
      <c r="AE65" s="22">
        <v>2</v>
      </c>
      <c r="AF65" s="22"/>
      <c r="AG65" s="27"/>
      <c r="AH65" s="28">
        <f t="shared" si="42"/>
        <v>5.75</v>
      </c>
      <c r="AI65" s="38">
        <v>35</v>
      </c>
      <c r="AJ65" s="22"/>
      <c r="AK65" s="22"/>
      <c r="AL65" s="22"/>
      <c r="AM65" s="42"/>
      <c r="AN65" s="30">
        <f t="shared" si="36"/>
        <v>35</v>
      </c>
      <c r="AO65" s="39"/>
      <c r="AP65" s="40"/>
      <c r="AQ65" s="33">
        <f t="shared" si="4"/>
        <v>0</v>
      </c>
      <c r="AR65" s="34">
        <f t="shared" si="28"/>
        <v>43.75</v>
      </c>
      <c r="AS65" s="370">
        <f t="shared" si="29"/>
        <v>0</v>
      </c>
      <c r="AT65" s="355">
        <v>32.049999999999997</v>
      </c>
      <c r="AU65" s="356">
        <f t="shared" si="30"/>
        <v>2</v>
      </c>
      <c r="AV65" s="357">
        <f t="shared" si="31"/>
        <v>23.333333333333332</v>
      </c>
      <c r="AW65" s="358">
        <f t="shared" si="32"/>
        <v>0</v>
      </c>
      <c r="AX65" s="356">
        <f t="shared" si="19"/>
        <v>6.716666666666665</v>
      </c>
      <c r="AY65" s="359">
        <f t="shared" si="20"/>
        <v>0.22944550669216066</v>
      </c>
      <c r="AZ65" s="360">
        <f t="shared" si="21"/>
        <v>0.77055449330783932</v>
      </c>
      <c r="BA65" s="287">
        <v>1883438</v>
      </c>
      <c r="BB65" s="287">
        <f t="shared" si="14"/>
        <v>43050.01142857143</v>
      </c>
    </row>
    <row r="66" spans="1:54" ht="15.75" thickBot="1" x14ac:dyDescent="0.3">
      <c r="A66" s="17" t="s">
        <v>206</v>
      </c>
      <c r="B66" s="17" t="s">
        <v>207</v>
      </c>
      <c r="C66" s="18" t="s">
        <v>180</v>
      </c>
      <c r="D66" s="18"/>
      <c r="E66" s="18"/>
      <c r="F66" s="18"/>
      <c r="G66" s="19"/>
      <c r="H66" s="19" t="s">
        <v>57</v>
      </c>
      <c r="I66" s="20"/>
      <c r="J66" s="20"/>
      <c r="K66" s="19"/>
      <c r="L66" s="21">
        <v>38.75</v>
      </c>
      <c r="M66" s="22">
        <v>19</v>
      </c>
      <c r="N66" s="22"/>
      <c r="O66" s="22"/>
      <c r="P66" s="22"/>
      <c r="Q66" s="22"/>
      <c r="R66" s="23" t="str">
        <f t="shared" si="40"/>
        <v/>
      </c>
      <c r="S66" s="24">
        <f t="shared" si="1"/>
        <v>19</v>
      </c>
      <c r="T66" s="25">
        <f>IF($C66="",0,VLOOKUP($C66,'[1]Hoja 1'!$C$11:$D$27,2,FALSE)*M66)+IF($D66="",0,VLOOKUP($D66,'[1]Hoja 1'!$C$11:$D$27,2,FALSE)*N66)+IF($F66="",0,VLOOKUP($F66,'[1]Hoja 1'!$C$11:$D$27,2,FALSE)*P66)+IF(R66="",0,R66*0.5)</f>
        <v>9.5</v>
      </c>
      <c r="U66" s="22" t="str">
        <f t="shared" si="43"/>
        <v/>
      </c>
      <c r="V66" s="22"/>
      <c r="W66" s="26">
        <v>2.25</v>
      </c>
      <c r="X66" s="22"/>
      <c r="Y66" s="22"/>
      <c r="Z66" s="22"/>
      <c r="AA66" s="22"/>
      <c r="AB66" s="22">
        <v>2</v>
      </c>
      <c r="AC66" s="22"/>
      <c r="AD66" s="36"/>
      <c r="AE66" s="22"/>
      <c r="AF66" s="22"/>
      <c r="AG66" s="27"/>
      <c r="AH66" s="28">
        <f t="shared" si="42"/>
        <v>13.75</v>
      </c>
      <c r="AI66" s="38"/>
      <c r="AJ66" s="22">
        <v>5</v>
      </c>
      <c r="AK66" s="22"/>
      <c r="AL66" s="22"/>
      <c r="AM66" s="42"/>
      <c r="AN66" s="30">
        <f t="shared" si="36"/>
        <v>5</v>
      </c>
      <c r="AO66" s="39">
        <v>1</v>
      </c>
      <c r="AP66" s="40" t="s">
        <v>181</v>
      </c>
      <c r="AQ66" s="33">
        <f t="shared" si="4"/>
        <v>1</v>
      </c>
      <c r="AR66" s="34">
        <f t="shared" si="28"/>
        <v>38.75</v>
      </c>
      <c r="AS66" s="370">
        <f t="shared" si="29"/>
        <v>0</v>
      </c>
      <c r="AT66" s="355">
        <v>27.35</v>
      </c>
      <c r="AU66" s="356">
        <f t="shared" si="30"/>
        <v>14</v>
      </c>
      <c r="AV66" s="357">
        <f t="shared" si="31"/>
        <v>3.3333333333333335</v>
      </c>
      <c r="AW66" s="358">
        <f t="shared" si="32"/>
        <v>0.66666666666666696</v>
      </c>
      <c r="AX66" s="356">
        <f t="shared" si="19"/>
        <v>9.3500000000000014</v>
      </c>
      <c r="AY66" s="359">
        <f t="shared" si="20"/>
        <v>0.59957173447537471</v>
      </c>
      <c r="AZ66" s="360">
        <f t="shared" si="21"/>
        <v>0.40042826552462529</v>
      </c>
      <c r="BA66" s="287">
        <v>1626789</v>
      </c>
      <c r="BB66" s="287">
        <f t="shared" si="14"/>
        <v>41981.651612903224</v>
      </c>
    </row>
    <row r="67" spans="1:54" ht="15.75" thickBot="1" x14ac:dyDescent="0.3">
      <c r="A67" s="17" t="s">
        <v>208</v>
      </c>
      <c r="B67" s="17" t="s">
        <v>209</v>
      </c>
      <c r="C67" s="18" t="s">
        <v>99</v>
      </c>
      <c r="D67" s="18"/>
      <c r="E67" s="18"/>
      <c r="F67" s="18"/>
      <c r="G67" s="19"/>
      <c r="H67" s="19" t="s">
        <v>57</v>
      </c>
      <c r="I67" s="20"/>
      <c r="J67" s="20"/>
      <c r="K67" s="19"/>
      <c r="L67" s="21">
        <v>46.25</v>
      </c>
      <c r="M67" s="22">
        <v>18</v>
      </c>
      <c r="N67" s="22"/>
      <c r="O67" s="22"/>
      <c r="P67" s="22"/>
      <c r="Q67" s="22"/>
      <c r="R67" s="23" t="str">
        <f t="shared" si="40"/>
        <v/>
      </c>
      <c r="S67" s="24">
        <f t="shared" si="1"/>
        <v>18</v>
      </c>
      <c r="T67" s="25">
        <v>11</v>
      </c>
      <c r="U67" s="22" t="str">
        <f t="shared" si="43"/>
        <v/>
      </c>
      <c r="V67" s="22"/>
      <c r="W67" s="26">
        <v>2.25</v>
      </c>
      <c r="X67" s="22"/>
      <c r="Y67" s="22"/>
      <c r="Z67" s="22"/>
      <c r="AA67" s="22"/>
      <c r="AB67" s="22">
        <v>2</v>
      </c>
      <c r="AC67" s="22">
        <v>2</v>
      </c>
      <c r="AD67" s="36"/>
      <c r="AE67" s="22"/>
      <c r="AF67" s="22"/>
      <c r="AG67" s="27"/>
      <c r="AH67" s="28">
        <f t="shared" si="42"/>
        <v>17.25</v>
      </c>
      <c r="AI67" s="38"/>
      <c r="AJ67" s="22">
        <v>6</v>
      </c>
      <c r="AK67" s="22"/>
      <c r="AL67" s="22"/>
      <c r="AM67" s="42"/>
      <c r="AN67" s="30">
        <f t="shared" si="36"/>
        <v>6</v>
      </c>
      <c r="AO67" s="39">
        <v>5</v>
      </c>
      <c r="AP67" s="40" t="s">
        <v>119</v>
      </c>
      <c r="AQ67" s="33">
        <f t="shared" si="4"/>
        <v>5</v>
      </c>
      <c r="AR67" s="34">
        <f t="shared" si="28"/>
        <v>46.25</v>
      </c>
      <c r="AS67" s="370">
        <f t="shared" si="29"/>
        <v>0</v>
      </c>
      <c r="AT67" s="355">
        <v>33.333333333333336</v>
      </c>
      <c r="AU67" s="356">
        <f t="shared" si="30"/>
        <v>13.333333333333334</v>
      </c>
      <c r="AV67" s="357">
        <f t="shared" si="31"/>
        <v>4</v>
      </c>
      <c r="AW67" s="358">
        <f t="shared" si="32"/>
        <v>3.3333333333333348</v>
      </c>
      <c r="AX67" s="356">
        <f t="shared" si="19"/>
        <v>12.666666666666664</v>
      </c>
      <c r="AY67" s="359">
        <f t="shared" si="20"/>
        <v>0.51282051282051289</v>
      </c>
      <c r="AZ67" s="360">
        <f t="shared" si="21"/>
        <v>0.48717948717948711</v>
      </c>
      <c r="BA67" s="287">
        <v>2070835</v>
      </c>
      <c r="BB67" s="287">
        <f t="shared" si="14"/>
        <v>44774.810810810814</v>
      </c>
    </row>
    <row r="68" spans="1:54" ht="15.75" thickBot="1" x14ac:dyDescent="0.3">
      <c r="A68" s="17" t="s">
        <v>210</v>
      </c>
      <c r="B68" s="17" t="s">
        <v>211</v>
      </c>
      <c r="C68" s="18" t="s">
        <v>126</v>
      </c>
      <c r="D68" s="18"/>
      <c r="E68" s="18"/>
      <c r="F68" s="18"/>
      <c r="G68" s="19"/>
      <c r="H68" s="19"/>
      <c r="I68" s="20"/>
      <c r="J68" s="20"/>
      <c r="K68" s="19"/>
      <c r="L68" s="21">
        <v>34.5</v>
      </c>
      <c r="M68" s="22">
        <v>14</v>
      </c>
      <c r="N68" s="22"/>
      <c r="O68" s="22"/>
      <c r="P68" s="22"/>
      <c r="Q68" s="22"/>
      <c r="R68" s="23" t="str">
        <f t="shared" si="40"/>
        <v/>
      </c>
      <c r="S68" s="24">
        <f t="shared" si="1"/>
        <v>14</v>
      </c>
      <c r="T68" s="25">
        <f>IF($C68="",0,VLOOKUP($C68,'[1]Hoja 1'!$C$11:$D$27,2,FALSE)*M68)+IF($D68="",0,VLOOKUP($D68,'[1]Hoja 1'!$C$11:$D$27,2,FALSE)*N68)+IF($F68="",0,VLOOKUP($F68,'[1]Hoja 1'!$C$11:$D$27,2,FALSE)*P68)+IF(R68="",0,R68*0.5)</f>
        <v>7</v>
      </c>
      <c r="U68" s="22" t="str">
        <f t="shared" si="43"/>
        <v/>
      </c>
      <c r="V68" s="22"/>
      <c r="W68" s="26">
        <v>1.5</v>
      </c>
      <c r="X68" s="22"/>
      <c r="Y68" s="22"/>
      <c r="Z68" s="22"/>
      <c r="AA68" s="22"/>
      <c r="AB68" s="22"/>
      <c r="AC68" s="22"/>
      <c r="AD68" s="36"/>
      <c r="AE68" s="22"/>
      <c r="AF68" s="22">
        <v>12</v>
      </c>
      <c r="AG68" s="27" t="s">
        <v>212</v>
      </c>
      <c r="AH68" s="28">
        <f t="shared" si="42"/>
        <v>20.5</v>
      </c>
      <c r="AI68" s="38"/>
      <c r="AJ68" s="22"/>
      <c r="AK68" s="22"/>
      <c r="AL68" s="22"/>
      <c r="AM68" s="42"/>
      <c r="AN68" s="30">
        <f t="shared" si="36"/>
        <v>0</v>
      </c>
      <c r="AO68" s="39"/>
      <c r="AP68" s="40"/>
      <c r="AQ68" s="33">
        <f t="shared" si="4"/>
        <v>0</v>
      </c>
      <c r="AR68" s="34">
        <f t="shared" ref="AR68:AR99" si="44">+S68+AH68+AN68+AQ68</f>
        <v>34.5</v>
      </c>
      <c r="AS68" s="370">
        <f t="shared" ref="AS68:AS99" si="45">+L68-AR68</f>
        <v>0</v>
      </c>
      <c r="AT68" s="355">
        <v>23.233333333333334</v>
      </c>
      <c r="AU68" s="356">
        <f t="shared" ref="AU68:AU100" si="46">+(S68+AB68)*40/60</f>
        <v>9.3333333333333339</v>
      </c>
      <c r="AV68" s="357">
        <f t="shared" ref="AV68:AV100" si="47">+AN68*40/60</f>
        <v>0</v>
      </c>
      <c r="AW68" s="358">
        <f t="shared" ref="AW68:AW100" si="48">+AQ68*0.666666666666667</f>
        <v>0</v>
      </c>
      <c r="AX68" s="356">
        <f t="shared" si="19"/>
        <v>13.9</v>
      </c>
      <c r="AY68" s="359">
        <f t="shared" si="20"/>
        <v>0.40172166427546629</v>
      </c>
      <c r="AZ68" s="360">
        <f t="shared" si="21"/>
        <v>0.59827833572453371</v>
      </c>
      <c r="BA68" s="287">
        <v>1552500</v>
      </c>
      <c r="BB68" s="287">
        <f t="shared" si="14"/>
        <v>45000</v>
      </c>
    </row>
    <row r="69" spans="1:54" ht="15.75" thickBot="1" x14ac:dyDescent="0.3">
      <c r="A69" s="17" t="s">
        <v>213</v>
      </c>
      <c r="B69" s="17" t="s">
        <v>214</v>
      </c>
      <c r="C69" s="18" t="s">
        <v>180</v>
      </c>
      <c r="D69" s="18"/>
      <c r="E69" s="18"/>
      <c r="F69" s="18"/>
      <c r="G69" s="19"/>
      <c r="H69" s="19"/>
      <c r="I69" s="20"/>
      <c r="J69" s="20"/>
      <c r="K69" s="19"/>
      <c r="L69" s="21">
        <v>28.75</v>
      </c>
      <c r="M69" s="22">
        <v>13</v>
      </c>
      <c r="N69" s="22"/>
      <c r="O69" s="22"/>
      <c r="P69" s="22"/>
      <c r="Q69" s="22"/>
      <c r="R69" s="23" t="str">
        <f t="shared" si="40"/>
        <v/>
      </c>
      <c r="S69" s="24">
        <f t="shared" si="1"/>
        <v>13</v>
      </c>
      <c r="T69" s="25">
        <f>IF($C69="",0,VLOOKUP($C69,'[1]Hoja 1'!$C$11:$D$27,2,FALSE)*M69)+IF($D69="",0,VLOOKUP($D69,'[1]Hoja 1'!$C$11:$D$27,2,FALSE)*N69)+IF($F69="",0,VLOOKUP($F69,'[1]Hoja 1'!$C$11:$D$27,2,FALSE)*P69)+IF(R69="",0,R69*0.5)</f>
        <v>6.5</v>
      </c>
      <c r="U69" s="22" t="str">
        <f t="shared" si="43"/>
        <v/>
      </c>
      <c r="V69" s="22"/>
      <c r="W69" s="26">
        <v>2.25</v>
      </c>
      <c r="X69" s="22">
        <v>2</v>
      </c>
      <c r="Y69" s="22">
        <v>2</v>
      </c>
      <c r="Z69" s="22"/>
      <c r="AA69" s="22"/>
      <c r="AB69" s="22">
        <v>2</v>
      </c>
      <c r="AC69" s="22"/>
      <c r="AD69" s="36"/>
      <c r="AE69" s="22"/>
      <c r="AF69" s="22"/>
      <c r="AG69" s="27" t="s">
        <v>1185</v>
      </c>
      <c r="AH69" s="28">
        <f t="shared" si="42"/>
        <v>14.75</v>
      </c>
      <c r="AI69" s="38"/>
      <c r="AJ69" s="22"/>
      <c r="AK69" s="22"/>
      <c r="AL69" s="22"/>
      <c r="AM69" s="42"/>
      <c r="AN69" s="30">
        <f t="shared" si="36"/>
        <v>0</v>
      </c>
      <c r="AO69" s="39">
        <v>1</v>
      </c>
      <c r="AP69" s="40" t="s">
        <v>181</v>
      </c>
      <c r="AQ69" s="33">
        <f t="shared" si="4"/>
        <v>1</v>
      </c>
      <c r="AR69" s="34">
        <f t="shared" si="44"/>
        <v>28.75</v>
      </c>
      <c r="AS69" s="370">
        <f t="shared" si="45"/>
        <v>0</v>
      </c>
      <c r="AT69" s="355">
        <v>21.25</v>
      </c>
      <c r="AU69" s="356">
        <f t="shared" si="46"/>
        <v>10</v>
      </c>
      <c r="AV69" s="357">
        <f t="shared" si="47"/>
        <v>0</v>
      </c>
      <c r="AW69" s="358">
        <f t="shared" si="48"/>
        <v>0.66666666666666696</v>
      </c>
      <c r="AX69" s="356">
        <f t="shared" ref="AX69:AX76" si="49">+AT69-AU69-AV69-AW69</f>
        <v>10.583333333333332</v>
      </c>
      <c r="AY69" s="359">
        <f t="shared" ref="AY69" si="50">+AU69/(AU69+AX69)</f>
        <v>0.48582995951417007</v>
      </c>
      <c r="AZ69" s="360">
        <f t="shared" ref="AZ69" si="51">+AX69/(AU69+AX69)</f>
        <v>0.51417004048582993</v>
      </c>
      <c r="BA69" s="287">
        <v>920000</v>
      </c>
      <c r="BB69" s="287">
        <f t="shared" ref="BB69:BB100" si="52">+BA69/L69</f>
        <v>32000</v>
      </c>
    </row>
    <row r="70" spans="1:54" ht="15.75" thickBot="1" x14ac:dyDescent="0.3">
      <c r="A70" s="17" t="s">
        <v>215</v>
      </c>
      <c r="B70" s="17" t="s">
        <v>216</v>
      </c>
      <c r="C70" s="18" t="s">
        <v>126</v>
      </c>
      <c r="D70" s="18"/>
      <c r="E70" s="18"/>
      <c r="F70" s="18"/>
      <c r="G70" s="19"/>
      <c r="H70" s="19"/>
      <c r="I70" s="20"/>
      <c r="J70" s="20"/>
      <c r="K70" s="19"/>
      <c r="L70" s="21">
        <v>11</v>
      </c>
      <c r="M70" s="22"/>
      <c r="N70" s="22"/>
      <c r="O70" s="22"/>
      <c r="P70" s="22"/>
      <c r="Q70" s="22"/>
      <c r="R70" s="23" t="str">
        <f t="shared" si="40"/>
        <v/>
      </c>
      <c r="S70" s="24">
        <f t="shared" si="1"/>
        <v>0</v>
      </c>
      <c r="T70" s="25">
        <f>IF($C70="",0,VLOOKUP($C70,'[1]Hoja 1'!$C$11:$D$27,2,FALSE)*M70)+IF($D70="",0,VLOOKUP($D70,'[1]Hoja 1'!$C$11:$D$27,2,FALSE)*N70)+IF($F70="",0,VLOOKUP($F70,'[1]Hoja 1'!$C$11:$D$27,2,FALSE)*P70)+IF(R70="",0,R70*0.5)</f>
        <v>0</v>
      </c>
      <c r="U70" s="22" t="str">
        <f t="shared" si="43"/>
        <v/>
      </c>
      <c r="V70" s="22"/>
      <c r="W70" s="26">
        <v>0</v>
      </c>
      <c r="X70" s="22"/>
      <c r="Y70" s="22"/>
      <c r="Z70" s="22"/>
      <c r="AA70" s="22"/>
      <c r="AB70" s="22"/>
      <c r="AC70" s="22"/>
      <c r="AD70" s="36"/>
      <c r="AE70" s="22"/>
      <c r="AF70" s="22"/>
      <c r="AG70" s="27"/>
      <c r="AH70" s="28">
        <f t="shared" si="42"/>
        <v>0</v>
      </c>
      <c r="AI70" s="38"/>
      <c r="AJ70" s="22"/>
      <c r="AK70" s="22"/>
      <c r="AL70" s="22">
        <v>11</v>
      </c>
      <c r="AM70" s="42" t="s">
        <v>217</v>
      </c>
      <c r="AN70" s="30">
        <f t="shared" si="36"/>
        <v>11</v>
      </c>
      <c r="AO70" s="39"/>
      <c r="AP70" s="40"/>
      <c r="AQ70" s="33">
        <f t="shared" si="4"/>
        <v>0</v>
      </c>
      <c r="AR70" s="34">
        <f t="shared" si="44"/>
        <v>11</v>
      </c>
      <c r="AS70" s="370">
        <f t="shared" si="45"/>
        <v>0</v>
      </c>
      <c r="AT70" s="355">
        <v>7</v>
      </c>
      <c r="AU70" s="356">
        <f t="shared" si="46"/>
        <v>0</v>
      </c>
      <c r="AV70" s="357">
        <f t="shared" si="47"/>
        <v>7.333333333333333</v>
      </c>
      <c r="AW70" s="358">
        <f t="shared" si="48"/>
        <v>0</v>
      </c>
      <c r="AX70" s="356">
        <f t="shared" si="49"/>
        <v>-0.33333333333333304</v>
      </c>
      <c r="AY70" s="359"/>
      <c r="AZ70" s="360"/>
      <c r="BA70" s="287">
        <v>440000</v>
      </c>
      <c r="BB70" s="287">
        <f t="shared" si="52"/>
        <v>40000</v>
      </c>
    </row>
    <row r="71" spans="1:54" ht="15.75" thickBot="1" x14ac:dyDescent="0.3">
      <c r="A71" s="17" t="s">
        <v>218</v>
      </c>
      <c r="B71" s="17" t="s">
        <v>219</v>
      </c>
      <c r="C71" s="18" t="s">
        <v>126</v>
      </c>
      <c r="D71" s="18"/>
      <c r="E71" s="18"/>
      <c r="F71" s="18"/>
      <c r="G71" s="19"/>
      <c r="H71" s="19" t="s">
        <v>57</v>
      </c>
      <c r="I71" s="20"/>
      <c r="J71" s="20"/>
      <c r="K71" s="19"/>
      <c r="L71" s="21">
        <v>52</v>
      </c>
      <c r="M71" s="22">
        <v>14</v>
      </c>
      <c r="N71" s="22"/>
      <c r="O71" s="22"/>
      <c r="P71" s="22"/>
      <c r="Q71" s="22"/>
      <c r="R71" s="23" t="str">
        <f t="shared" si="40"/>
        <v/>
      </c>
      <c r="S71" s="24">
        <f t="shared" si="1"/>
        <v>14</v>
      </c>
      <c r="T71" s="25">
        <f>IF($C71="",0,VLOOKUP($C71,'[1]Hoja 1'!$C$11:$D$27,2,FALSE)*M71)+IF($D71="",0,VLOOKUP($D71,'[1]Hoja 1'!$C$11:$D$27,2,FALSE)*N71)+IF($F71="",0,VLOOKUP($F71,'[1]Hoja 1'!$C$11:$D$27,2,FALSE)*P71)+IF(R71="",0,R71*0.5)</f>
        <v>7</v>
      </c>
      <c r="U71" s="22" t="str">
        <f t="shared" si="43"/>
        <v/>
      </c>
      <c r="V71" s="22"/>
      <c r="W71" s="26">
        <v>0</v>
      </c>
      <c r="X71" s="22"/>
      <c r="Y71" s="22"/>
      <c r="Z71" s="22"/>
      <c r="AA71" s="22"/>
      <c r="AB71" s="22"/>
      <c r="AC71" s="22"/>
      <c r="AD71" s="36"/>
      <c r="AE71" s="22"/>
      <c r="AF71" s="22">
        <v>17</v>
      </c>
      <c r="AG71" s="27" t="s">
        <v>127</v>
      </c>
      <c r="AH71" s="28">
        <f t="shared" si="42"/>
        <v>24</v>
      </c>
      <c r="AI71" s="38"/>
      <c r="AJ71" s="22">
        <v>5</v>
      </c>
      <c r="AK71" s="22"/>
      <c r="AL71" s="22"/>
      <c r="AM71" s="42"/>
      <c r="AN71" s="30">
        <f t="shared" si="36"/>
        <v>5</v>
      </c>
      <c r="AO71" s="39">
        <v>9</v>
      </c>
      <c r="AP71" s="40" t="s">
        <v>220</v>
      </c>
      <c r="AQ71" s="33">
        <f t="shared" si="4"/>
        <v>9</v>
      </c>
      <c r="AR71" s="34">
        <f t="shared" si="44"/>
        <v>52</v>
      </c>
      <c r="AS71" s="370">
        <f t="shared" si="45"/>
        <v>0</v>
      </c>
      <c r="AT71" s="355">
        <v>31.233333333333334</v>
      </c>
      <c r="AU71" s="356">
        <f t="shared" si="46"/>
        <v>9.3333333333333339</v>
      </c>
      <c r="AV71" s="357">
        <f t="shared" si="47"/>
        <v>3.3333333333333335</v>
      </c>
      <c r="AW71" s="358">
        <f t="shared" si="48"/>
        <v>6.0000000000000027</v>
      </c>
      <c r="AX71" s="356">
        <f t="shared" si="49"/>
        <v>12.566666666666663</v>
      </c>
      <c r="AY71" s="359">
        <f t="shared" ref="AY71" si="53">+AU71/(AU71+AX71)</f>
        <v>0.42617960426179607</v>
      </c>
      <c r="AZ71" s="360">
        <f t="shared" ref="AZ71" si="54">+AX71/(AU71+AX71)</f>
        <v>0.57382039573820387</v>
      </c>
      <c r="BA71" s="287">
        <v>3585607</v>
      </c>
      <c r="BB71" s="287">
        <f t="shared" si="52"/>
        <v>68953.980769230766</v>
      </c>
    </row>
    <row r="72" spans="1:54" ht="15.75" thickBot="1" x14ac:dyDescent="0.3">
      <c r="A72" s="17" t="s">
        <v>221</v>
      </c>
      <c r="B72" s="17" t="s">
        <v>222</v>
      </c>
      <c r="C72" s="18" t="s">
        <v>126</v>
      </c>
      <c r="D72" s="18"/>
      <c r="E72" s="18"/>
      <c r="F72" s="18"/>
      <c r="G72" s="19" t="s">
        <v>57</v>
      </c>
      <c r="H72" s="19"/>
      <c r="I72" s="20"/>
      <c r="J72" s="20"/>
      <c r="K72" s="19"/>
      <c r="L72" s="21">
        <v>47.5</v>
      </c>
      <c r="M72" s="22">
        <v>15.5</v>
      </c>
      <c r="N72" s="22"/>
      <c r="O72" s="22"/>
      <c r="P72" s="22"/>
      <c r="Q72" s="22"/>
      <c r="R72" s="23">
        <f t="shared" si="40"/>
        <v>1</v>
      </c>
      <c r="S72" s="24">
        <f t="shared" si="1"/>
        <v>16.5</v>
      </c>
      <c r="T72" s="25">
        <v>8.5</v>
      </c>
      <c r="U72" s="22">
        <f t="shared" si="43"/>
        <v>4</v>
      </c>
      <c r="V72" s="22">
        <v>4</v>
      </c>
      <c r="W72" s="26">
        <v>1.5</v>
      </c>
      <c r="X72" s="22"/>
      <c r="Y72" s="22"/>
      <c r="Z72" s="22"/>
      <c r="AA72" s="22"/>
      <c r="AB72" s="22"/>
      <c r="AC72" s="22">
        <v>1</v>
      </c>
      <c r="AD72" s="36"/>
      <c r="AE72" s="22"/>
      <c r="AF72" s="22">
        <v>12</v>
      </c>
      <c r="AG72" s="27" t="s">
        <v>212</v>
      </c>
      <c r="AH72" s="28">
        <f t="shared" si="42"/>
        <v>31</v>
      </c>
      <c r="AI72" s="38"/>
      <c r="AJ72" s="22"/>
      <c r="AK72" s="22"/>
      <c r="AL72" s="22"/>
      <c r="AM72" s="42"/>
      <c r="AN72" s="30">
        <f t="shared" si="36"/>
        <v>0</v>
      </c>
      <c r="AO72" s="39"/>
      <c r="AP72" s="40"/>
      <c r="AQ72" s="33">
        <f t="shared" si="4"/>
        <v>0</v>
      </c>
      <c r="AR72" s="34">
        <f t="shared" si="44"/>
        <v>47.5</v>
      </c>
      <c r="AS72" s="370">
        <f t="shared" si="45"/>
        <v>0</v>
      </c>
      <c r="AT72" s="355">
        <v>32.274999999999999</v>
      </c>
      <c r="AU72" s="356">
        <f t="shared" si="46"/>
        <v>11</v>
      </c>
      <c r="AV72" s="357">
        <f t="shared" si="47"/>
        <v>0</v>
      </c>
      <c r="AW72" s="358">
        <f t="shared" si="48"/>
        <v>0</v>
      </c>
      <c r="AX72" s="356">
        <f t="shared" si="49"/>
        <v>21.274999999999999</v>
      </c>
      <c r="AY72" s="359">
        <f t="shared" ref="AY72:AY76" si="55">+AU72/(AU72+AX72)</f>
        <v>0.34082106893880715</v>
      </c>
      <c r="AZ72" s="360">
        <f t="shared" ref="AZ72:AZ76" si="56">+AX72/(AU72+AX72)</f>
        <v>0.65917893106119285</v>
      </c>
      <c r="BA72" s="287">
        <v>2028161</v>
      </c>
      <c r="BB72" s="287">
        <f t="shared" si="52"/>
        <v>42698.126315789472</v>
      </c>
    </row>
    <row r="73" spans="1:54" ht="15.75" thickBot="1" x14ac:dyDescent="0.3">
      <c r="A73" s="17" t="s">
        <v>223</v>
      </c>
      <c r="B73" s="17" t="s">
        <v>224</v>
      </c>
      <c r="C73" s="18" t="s">
        <v>126</v>
      </c>
      <c r="D73" s="18"/>
      <c r="E73" s="18"/>
      <c r="F73" s="18"/>
      <c r="G73" s="19" t="s">
        <v>57</v>
      </c>
      <c r="H73" s="19"/>
      <c r="I73" s="20"/>
      <c r="J73" s="20"/>
      <c r="K73" s="19"/>
      <c r="L73" s="21">
        <v>37</v>
      </c>
      <c r="M73" s="22">
        <v>10</v>
      </c>
      <c r="N73" s="22"/>
      <c r="O73" s="22"/>
      <c r="P73" s="22"/>
      <c r="Q73" s="22"/>
      <c r="R73" s="23">
        <f t="shared" si="40"/>
        <v>1</v>
      </c>
      <c r="S73" s="24">
        <f t="shared" si="1"/>
        <v>11</v>
      </c>
      <c r="T73" s="25">
        <f>IF($C73="",0,VLOOKUP($C73,'[1]Hoja 1'!$C$11:$D$27,2,FALSE)*M73)+IF($D73="",0,VLOOKUP($D73,'[1]Hoja 1'!$C$11:$D$27,2,FALSE)*N73)+IF($F73="",0,VLOOKUP($F73,'[1]Hoja 1'!$C$11:$D$27,2,FALSE)*P73)+IF(R73="",0,R73*0.5)</f>
        <v>5.5</v>
      </c>
      <c r="U73" s="22">
        <f t="shared" si="43"/>
        <v>4</v>
      </c>
      <c r="V73" s="22">
        <v>4</v>
      </c>
      <c r="W73" s="26">
        <v>1.5</v>
      </c>
      <c r="X73" s="22"/>
      <c r="Y73" s="22"/>
      <c r="Z73" s="22"/>
      <c r="AA73" s="22"/>
      <c r="AB73" s="22"/>
      <c r="AC73" s="22"/>
      <c r="AD73" s="36"/>
      <c r="AE73" s="22"/>
      <c r="AF73" s="22">
        <v>11</v>
      </c>
      <c r="AG73" s="27" t="s">
        <v>217</v>
      </c>
      <c r="AH73" s="28">
        <f t="shared" si="42"/>
        <v>26</v>
      </c>
      <c r="AI73" s="38"/>
      <c r="AJ73" s="22"/>
      <c r="AK73" s="22"/>
      <c r="AL73" s="22"/>
      <c r="AM73" s="42"/>
      <c r="AN73" s="30">
        <f t="shared" si="36"/>
        <v>0</v>
      </c>
      <c r="AO73" s="39"/>
      <c r="AP73" s="40"/>
      <c r="AQ73" s="33">
        <f t="shared" si="4"/>
        <v>0</v>
      </c>
      <c r="AR73" s="34">
        <f t="shared" si="44"/>
        <v>37</v>
      </c>
      <c r="AS73" s="370">
        <f t="shared" si="45"/>
        <v>0</v>
      </c>
      <c r="AT73" s="355">
        <v>27.183333333333334</v>
      </c>
      <c r="AU73" s="356">
        <f t="shared" si="46"/>
        <v>7.333333333333333</v>
      </c>
      <c r="AV73" s="357">
        <f t="shared" si="47"/>
        <v>0</v>
      </c>
      <c r="AW73" s="358">
        <f t="shared" si="48"/>
        <v>0</v>
      </c>
      <c r="AX73" s="356">
        <f t="shared" si="49"/>
        <v>19.850000000000001</v>
      </c>
      <c r="AY73" s="359">
        <f t="shared" si="55"/>
        <v>0.26977314530962598</v>
      </c>
      <c r="AZ73" s="360">
        <f t="shared" si="56"/>
        <v>0.73022685469037407</v>
      </c>
      <c r="BA73" s="287">
        <v>1262391</v>
      </c>
      <c r="BB73" s="287">
        <f t="shared" si="52"/>
        <v>34118.675675675673</v>
      </c>
    </row>
    <row r="74" spans="1:54" ht="15.75" thickBot="1" x14ac:dyDescent="0.3">
      <c r="A74" s="17" t="s">
        <v>225</v>
      </c>
      <c r="B74" s="17" t="s">
        <v>226</v>
      </c>
      <c r="C74" s="18" t="s">
        <v>109</v>
      </c>
      <c r="D74" s="18"/>
      <c r="E74" s="18"/>
      <c r="F74" s="18"/>
      <c r="G74" s="19" t="s">
        <v>57</v>
      </c>
      <c r="H74" s="19"/>
      <c r="I74" s="20"/>
      <c r="J74" s="20"/>
      <c r="K74" s="19"/>
      <c r="L74" s="21">
        <v>38.75</v>
      </c>
      <c r="M74" s="22">
        <v>18</v>
      </c>
      <c r="N74" s="22"/>
      <c r="O74" s="22"/>
      <c r="P74" s="22"/>
      <c r="Q74" s="22"/>
      <c r="R74" s="23">
        <f t="shared" si="40"/>
        <v>1</v>
      </c>
      <c r="S74" s="24">
        <f t="shared" si="1"/>
        <v>19</v>
      </c>
      <c r="T74" s="25">
        <f>IF($C74="",0,VLOOKUP($C74,'[1]Hoja 1'!$C$11:$D$27,2,FALSE)*M74)+IF($D74="",0,VLOOKUP($D74,'[1]Hoja 1'!$C$11:$D$27,2,FALSE)*N74)+IF($F74="",0,VLOOKUP($F74,'[1]Hoja 1'!$C$11:$D$27,2,FALSE)*P74)+IF(R74="",0,R74*0.5)</f>
        <v>9.5</v>
      </c>
      <c r="U74" s="22">
        <f t="shared" si="43"/>
        <v>4</v>
      </c>
      <c r="V74" s="22">
        <v>4</v>
      </c>
      <c r="W74" s="26">
        <v>2.25</v>
      </c>
      <c r="X74" s="22"/>
      <c r="Y74" s="22"/>
      <c r="Z74" s="22"/>
      <c r="AA74" s="22"/>
      <c r="AB74" s="22"/>
      <c r="AC74" s="22"/>
      <c r="AD74" s="36"/>
      <c r="AE74" s="22"/>
      <c r="AF74" s="22"/>
      <c r="AG74" s="27"/>
      <c r="AH74" s="28">
        <f t="shared" si="42"/>
        <v>19.75</v>
      </c>
      <c r="AI74" s="38"/>
      <c r="AJ74" s="22"/>
      <c r="AK74" s="22"/>
      <c r="AL74" s="22"/>
      <c r="AM74" s="42"/>
      <c r="AN74" s="30">
        <f t="shared" si="36"/>
        <v>0</v>
      </c>
      <c r="AO74" s="39"/>
      <c r="AP74" s="40"/>
      <c r="AQ74" s="33">
        <f t="shared" si="4"/>
        <v>0</v>
      </c>
      <c r="AR74" s="34">
        <f t="shared" si="44"/>
        <v>38.75</v>
      </c>
      <c r="AS74" s="370">
        <f t="shared" si="45"/>
        <v>0</v>
      </c>
      <c r="AT74" s="355">
        <v>31.316666666666666</v>
      </c>
      <c r="AU74" s="356">
        <f t="shared" si="46"/>
        <v>12.666666666666666</v>
      </c>
      <c r="AV74" s="357">
        <f t="shared" si="47"/>
        <v>0</v>
      </c>
      <c r="AW74" s="358">
        <f t="shared" si="48"/>
        <v>0</v>
      </c>
      <c r="AX74" s="356">
        <f t="shared" si="49"/>
        <v>18.649999999999999</v>
      </c>
      <c r="AY74" s="359">
        <f t="shared" si="55"/>
        <v>0.4044704630122406</v>
      </c>
      <c r="AZ74" s="360">
        <f t="shared" si="56"/>
        <v>0.59552953698775946</v>
      </c>
      <c r="BA74" s="287">
        <v>1550000</v>
      </c>
      <c r="BB74" s="287">
        <f t="shared" si="52"/>
        <v>40000</v>
      </c>
    </row>
    <row r="75" spans="1:54" ht="15.75" thickBot="1" x14ac:dyDescent="0.3">
      <c r="A75" s="17" t="s">
        <v>227</v>
      </c>
      <c r="B75" s="17" t="s">
        <v>228</v>
      </c>
      <c r="C75" s="18" t="s">
        <v>55</v>
      </c>
      <c r="D75" s="18"/>
      <c r="E75" s="18"/>
      <c r="F75" s="18"/>
      <c r="G75" s="19" t="s">
        <v>57</v>
      </c>
      <c r="H75" s="19"/>
      <c r="I75" s="20"/>
      <c r="J75" s="20"/>
      <c r="K75" s="19"/>
      <c r="L75" s="21">
        <v>35.950000000000003</v>
      </c>
      <c r="M75" s="22">
        <v>12</v>
      </c>
      <c r="N75" s="22"/>
      <c r="O75" s="22"/>
      <c r="P75" s="22"/>
      <c r="Q75" s="22"/>
      <c r="R75" s="23">
        <f t="shared" si="40"/>
        <v>1</v>
      </c>
      <c r="S75" s="24">
        <f t="shared" si="1"/>
        <v>13</v>
      </c>
      <c r="T75" s="25">
        <f>IF($C75="",0,VLOOKUP($C75,'[1]Hoja 1'!$C$11:$D$27,2,FALSE)*M75)+IF($D75="",0,VLOOKUP($D75,'[1]Hoja 1'!$C$11:$D$27,2,FALSE)*N75)+IF($F75="",0,VLOOKUP($F75,'[1]Hoja 1'!$C$11:$D$27,2,FALSE)*P75)+IF(R75="",0,R75*0.5)</f>
        <v>7.6999999999999993</v>
      </c>
      <c r="U75" s="22">
        <f t="shared" si="43"/>
        <v>4</v>
      </c>
      <c r="V75" s="22">
        <v>4</v>
      </c>
      <c r="W75" s="26">
        <v>2.25</v>
      </c>
      <c r="X75" s="22"/>
      <c r="Y75" s="22"/>
      <c r="Z75" s="22"/>
      <c r="AA75" s="22"/>
      <c r="AB75" s="22">
        <v>2</v>
      </c>
      <c r="AC75" s="22"/>
      <c r="AD75" s="36"/>
      <c r="AE75" s="22"/>
      <c r="AF75" s="22">
        <v>3</v>
      </c>
      <c r="AG75" s="27" t="s">
        <v>229</v>
      </c>
      <c r="AH75" s="28">
        <f t="shared" si="42"/>
        <v>22.95</v>
      </c>
      <c r="AI75" s="38"/>
      <c r="AJ75" s="22"/>
      <c r="AK75" s="22"/>
      <c r="AL75" s="22"/>
      <c r="AM75" s="42"/>
      <c r="AN75" s="30">
        <f t="shared" si="36"/>
        <v>0</v>
      </c>
      <c r="AO75" s="39"/>
      <c r="AP75" s="40"/>
      <c r="AQ75" s="33">
        <f t="shared" si="4"/>
        <v>0</v>
      </c>
      <c r="AR75" s="34">
        <f t="shared" si="44"/>
        <v>35.950000000000003</v>
      </c>
      <c r="AS75" s="370">
        <f t="shared" si="45"/>
        <v>0</v>
      </c>
      <c r="AT75" s="355">
        <v>27.25</v>
      </c>
      <c r="AU75" s="356">
        <f t="shared" si="46"/>
        <v>10</v>
      </c>
      <c r="AV75" s="357">
        <f t="shared" si="47"/>
        <v>0</v>
      </c>
      <c r="AW75" s="358">
        <f t="shared" si="48"/>
        <v>0</v>
      </c>
      <c r="AX75" s="356">
        <f t="shared" si="49"/>
        <v>17.25</v>
      </c>
      <c r="AY75" s="359">
        <f t="shared" si="55"/>
        <v>0.3669724770642202</v>
      </c>
      <c r="AZ75" s="360">
        <f t="shared" si="56"/>
        <v>0.6330275229357798</v>
      </c>
      <c r="BA75" s="287">
        <v>1105463</v>
      </c>
      <c r="BB75" s="287">
        <f t="shared" si="52"/>
        <v>30750.013908205838</v>
      </c>
    </row>
    <row r="76" spans="1:54" ht="15.75" thickBot="1" x14ac:dyDescent="0.3">
      <c r="A76" s="17" t="s">
        <v>230</v>
      </c>
      <c r="B76" s="17" t="s">
        <v>231</v>
      </c>
      <c r="C76" s="18" t="s">
        <v>114</v>
      </c>
      <c r="D76" s="18"/>
      <c r="E76" s="18"/>
      <c r="F76" s="18"/>
      <c r="G76" s="19" t="s">
        <v>57</v>
      </c>
      <c r="H76" s="19"/>
      <c r="I76" s="20"/>
      <c r="J76" s="20"/>
      <c r="K76" s="19"/>
      <c r="L76" s="21">
        <v>45.25</v>
      </c>
      <c r="M76" s="22">
        <v>13</v>
      </c>
      <c r="N76" s="22"/>
      <c r="O76" s="22"/>
      <c r="P76" s="22"/>
      <c r="Q76" s="22">
        <v>6</v>
      </c>
      <c r="R76" s="23">
        <f t="shared" si="40"/>
        <v>1</v>
      </c>
      <c r="S76" s="24">
        <f t="shared" si="1"/>
        <v>20</v>
      </c>
      <c r="T76" s="25">
        <f>IF($C76="",0,VLOOKUP($C76,'[1]Hoja 1'!$C$11:$D$27,2,FALSE)*M76)+IF($D76="",0,VLOOKUP($D76,'[1]Hoja 1'!$C$11:$D$27,2,FALSE)*N76)+IF($F76="",0,VLOOKUP($F76,'[1]Hoja 1'!$C$11:$D$27,2,FALSE)*P76)+IF(R76="",0,R76*0.5)</f>
        <v>7</v>
      </c>
      <c r="U76" s="22">
        <v>5</v>
      </c>
      <c r="V76" s="22"/>
      <c r="W76" s="26">
        <v>2.25</v>
      </c>
      <c r="X76" s="22"/>
      <c r="Y76" s="22"/>
      <c r="Z76" s="22"/>
      <c r="AA76" s="22"/>
      <c r="AB76" s="22">
        <v>1</v>
      </c>
      <c r="AC76" s="22"/>
      <c r="AD76" s="36">
        <v>2</v>
      </c>
      <c r="AE76" s="22"/>
      <c r="AF76" s="22"/>
      <c r="AG76" s="27"/>
      <c r="AH76" s="28">
        <f t="shared" si="42"/>
        <v>17.25</v>
      </c>
      <c r="AI76" s="38"/>
      <c r="AJ76" s="22"/>
      <c r="AK76" s="22"/>
      <c r="AL76" s="22">
        <v>8</v>
      </c>
      <c r="AM76" s="42" t="s">
        <v>232</v>
      </c>
      <c r="AN76" s="30">
        <f t="shared" si="36"/>
        <v>8</v>
      </c>
      <c r="AO76" s="39"/>
      <c r="AP76" s="40"/>
      <c r="AQ76" s="33">
        <f t="shared" si="4"/>
        <v>0</v>
      </c>
      <c r="AR76" s="34">
        <f t="shared" si="44"/>
        <v>45.25</v>
      </c>
      <c r="AS76" s="370">
        <f t="shared" si="45"/>
        <v>0</v>
      </c>
      <c r="AT76" s="355">
        <v>33.35</v>
      </c>
      <c r="AU76" s="356">
        <f t="shared" si="46"/>
        <v>14</v>
      </c>
      <c r="AV76" s="357">
        <f t="shared" si="47"/>
        <v>5.333333333333333</v>
      </c>
      <c r="AW76" s="358">
        <f t="shared" si="48"/>
        <v>0</v>
      </c>
      <c r="AX76" s="356">
        <f t="shared" si="49"/>
        <v>14.016666666666669</v>
      </c>
      <c r="AY76" s="359">
        <f t="shared" si="55"/>
        <v>0.49970255800118973</v>
      </c>
      <c r="AZ76" s="360">
        <f t="shared" si="56"/>
        <v>0.50029744199881032</v>
      </c>
      <c r="BA76" s="287">
        <v>1550894</v>
      </c>
      <c r="BB76" s="287">
        <f t="shared" si="52"/>
        <v>34273.900552486186</v>
      </c>
    </row>
    <row r="77" spans="1:54" ht="15.75" thickBot="1" x14ac:dyDescent="0.3">
      <c r="A77" s="17" t="s">
        <v>233</v>
      </c>
      <c r="B77" s="17" t="s">
        <v>234</v>
      </c>
      <c r="C77" s="18" t="s">
        <v>80</v>
      </c>
      <c r="D77" s="18"/>
      <c r="E77" s="18"/>
      <c r="F77" s="18"/>
      <c r="G77" s="19"/>
      <c r="H77" s="19"/>
      <c r="I77" s="20"/>
      <c r="J77" s="20"/>
      <c r="K77" s="19"/>
      <c r="L77" s="21">
        <v>49.63</v>
      </c>
      <c r="M77" s="22">
        <v>35.75</v>
      </c>
      <c r="N77" s="22"/>
      <c r="O77" s="22"/>
      <c r="P77" s="22"/>
      <c r="Q77" s="22"/>
      <c r="R77" s="23" t="str">
        <f t="shared" si="40"/>
        <v/>
      </c>
      <c r="S77" s="24">
        <f t="shared" si="1"/>
        <v>35.75</v>
      </c>
      <c r="T77" s="25">
        <v>11.625</v>
      </c>
      <c r="U77" s="22" t="str">
        <f t="shared" ref="U77:U84" si="57">IF(G77="x",4,"")</f>
        <v/>
      </c>
      <c r="V77" s="22"/>
      <c r="W77" s="26">
        <v>2.25</v>
      </c>
      <c r="X77" s="22"/>
      <c r="Y77" s="22"/>
      <c r="Z77" s="22"/>
      <c r="AA77" s="22"/>
      <c r="AB77" s="22"/>
      <c r="AC77" s="22"/>
      <c r="AD77" s="36"/>
      <c r="AE77" s="22"/>
      <c r="AF77" s="22"/>
      <c r="AG77" s="27"/>
      <c r="AH77" s="28">
        <f t="shared" si="42"/>
        <v>13.875</v>
      </c>
      <c r="AI77" s="38"/>
      <c r="AJ77" s="22"/>
      <c r="AK77" s="22"/>
      <c r="AL77" s="22"/>
      <c r="AM77" s="42"/>
      <c r="AN77" s="30">
        <f t="shared" si="36"/>
        <v>0</v>
      </c>
      <c r="AO77" s="39"/>
      <c r="AP77" s="40"/>
      <c r="AQ77" s="33">
        <f t="shared" si="4"/>
        <v>0</v>
      </c>
      <c r="AR77" s="34">
        <f t="shared" si="44"/>
        <v>49.625</v>
      </c>
      <c r="AS77" s="370">
        <f t="shared" si="45"/>
        <v>5.000000000002558E-3</v>
      </c>
      <c r="AT77" s="355">
        <v>33.594999999999999</v>
      </c>
      <c r="AU77" s="356">
        <f t="shared" si="46"/>
        <v>23.833333333333332</v>
      </c>
      <c r="AV77" s="376">
        <f t="shared" si="47"/>
        <v>0</v>
      </c>
      <c r="AW77" s="358">
        <f t="shared" si="48"/>
        <v>0</v>
      </c>
      <c r="AX77" s="356">
        <f t="shared" ref="AX77:AX100" si="58">+AT77-AU77-AV77-AW77</f>
        <v>9.7616666666666667</v>
      </c>
      <c r="AY77" s="359">
        <f t="shared" ref="AY77:AY95" si="59">+AU77/(AU77+AX77)</f>
        <v>0.70943096690975838</v>
      </c>
      <c r="AZ77" s="360">
        <f t="shared" ref="AZ77:AZ95" si="60">+AX77/(AU77+AX77)</f>
        <v>0.29056903309024162</v>
      </c>
      <c r="BA77" s="287">
        <v>1574763</v>
      </c>
      <c r="BB77" s="287">
        <f t="shared" si="52"/>
        <v>31730.06246222043</v>
      </c>
    </row>
    <row r="78" spans="1:54" ht="15.75" thickBot="1" x14ac:dyDescent="0.3">
      <c r="A78" s="17" t="s">
        <v>235</v>
      </c>
      <c r="B78" s="17" t="s">
        <v>236</v>
      </c>
      <c r="C78" s="18" t="s">
        <v>56</v>
      </c>
      <c r="D78" s="18"/>
      <c r="E78" s="18"/>
      <c r="F78" s="18"/>
      <c r="G78" s="19" t="s">
        <v>57</v>
      </c>
      <c r="H78" s="19"/>
      <c r="I78" s="20"/>
      <c r="J78" s="20"/>
      <c r="K78" s="19"/>
      <c r="L78" s="21">
        <v>16.25</v>
      </c>
      <c r="M78" s="22">
        <v>3</v>
      </c>
      <c r="N78" s="22"/>
      <c r="O78" s="22"/>
      <c r="P78" s="22"/>
      <c r="Q78" s="22"/>
      <c r="R78" s="23">
        <f t="shared" si="40"/>
        <v>1</v>
      </c>
      <c r="S78" s="24">
        <f t="shared" si="1"/>
        <v>4</v>
      </c>
      <c r="T78" s="25">
        <f>IF($C78="",0,VLOOKUP($C78,'[1]Hoja 1'!$C$11:$D$27,2,FALSE)*M78)+IF($D78="",0,VLOOKUP($D78,'[1]Hoja 1'!$C$11:$D$27,2,FALSE)*N78)+IF($F78="",0,VLOOKUP($F78,'[1]Hoja 1'!$C$11:$D$27,2,FALSE)*P78)+IF(R78="",0,R78*0.5)</f>
        <v>2</v>
      </c>
      <c r="U78" s="22">
        <f t="shared" si="57"/>
        <v>4</v>
      </c>
      <c r="V78" s="22">
        <v>4</v>
      </c>
      <c r="W78" s="26">
        <v>2.25</v>
      </c>
      <c r="X78" s="22"/>
      <c r="Y78" s="22"/>
      <c r="Z78" s="22"/>
      <c r="AA78" s="22"/>
      <c r="AB78" s="22"/>
      <c r="AC78" s="22"/>
      <c r="AD78" s="36"/>
      <c r="AE78" s="22"/>
      <c r="AF78" s="22"/>
      <c r="AG78" s="27"/>
      <c r="AH78" s="28">
        <f t="shared" si="42"/>
        <v>12.25</v>
      </c>
      <c r="AI78" s="38"/>
      <c r="AJ78" s="22"/>
      <c r="AK78" s="22"/>
      <c r="AL78" s="22"/>
      <c r="AM78" s="42"/>
      <c r="AN78" s="30">
        <f t="shared" si="36"/>
        <v>0</v>
      </c>
      <c r="AO78" s="39"/>
      <c r="AP78" s="40"/>
      <c r="AQ78" s="33">
        <f t="shared" si="4"/>
        <v>0</v>
      </c>
      <c r="AR78" s="34">
        <f t="shared" si="44"/>
        <v>16.25</v>
      </c>
      <c r="AS78" s="370">
        <f t="shared" si="45"/>
        <v>0</v>
      </c>
      <c r="AT78" s="355">
        <v>12.066666666666666</v>
      </c>
      <c r="AU78" s="356">
        <f t="shared" si="46"/>
        <v>2.6666666666666665</v>
      </c>
      <c r="AV78" s="357">
        <f t="shared" si="47"/>
        <v>0</v>
      </c>
      <c r="AW78" s="358">
        <f t="shared" si="48"/>
        <v>0</v>
      </c>
      <c r="AX78" s="356">
        <f t="shared" si="58"/>
        <v>9.4</v>
      </c>
      <c r="AY78" s="359">
        <f t="shared" si="59"/>
        <v>0.22099447513812154</v>
      </c>
      <c r="AZ78" s="360">
        <f t="shared" si="60"/>
        <v>0.77900552486187846</v>
      </c>
      <c r="BA78" s="287">
        <v>682500</v>
      </c>
      <c r="BB78" s="287">
        <f t="shared" si="52"/>
        <v>42000</v>
      </c>
    </row>
    <row r="79" spans="1:54" ht="15.75" thickBot="1" x14ac:dyDescent="0.3">
      <c r="A79" s="17" t="s">
        <v>237</v>
      </c>
      <c r="B79" s="17" t="s">
        <v>238</v>
      </c>
      <c r="C79" s="18" t="s">
        <v>61</v>
      </c>
      <c r="D79" s="18"/>
      <c r="E79" s="18"/>
      <c r="F79" s="18"/>
      <c r="G79" s="19"/>
      <c r="H79" s="19"/>
      <c r="I79" s="20" t="s">
        <v>57</v>
      </c>
      <c r="J79" s="45" t="s">
        <v>205</v>
      </c>
      <c r="K79" s="19"/>
      <c r="L79" s="21">
        <v>48.75</v>
      </c>
      <c r="M79" s="22">
        <v>6</v>
      </c>
      <c r="N79" s="22"/>
      <c r="O79" s="22"/>
      <c r="P79" s="22"/>
      <c r="Q79" s="22"/>
      <c r="R79" s="23" t="str">
        <f t="shared" si="40"/>
        <v/>
      </c>
      <c r="S79" s="24">
        <f t="shared" si="1"/>
        <v>6</v>
      </c>
      <c r="T79" s="25">
        <f>IF($C79="",0,VLOOKUP($C79,'[1]Hoja 1'!$C$11:$D$27,2,FALSE)*M79)+IF($D79="",0,VLOOKUP($D79,'[1]Hoja 1'!$C$11:$D$27,2,FALSE)*N79)+IF($F79="",0,VLOOKUP($F79,'[1]Hoja 1'!$C$11:$D$27,2,FALSE)*P79)+IF(R79="",0,R79*0.5)</f>
        <v>3</v>
      </c>
      <c r="U79" s="22" t="str">
        <f t="shared" si="57"/>
        <v/>
      </c>
      <c r="V79" s="22"/>
      <c r="W79" s="26">
        <v>2.25</v>
      </c>
      <c r="X79" s="22"/>
      <c r="Y79" s="22"/>
      <c r="Z79" s="22"/>
      <c r="AA79" s="22"/>
      <c r="AB79" s="22"/>
      <c r="AC79" s="22">
        <v>1</v>
      </c>
      <c r="AD79" s="36"/>
      <c r="AE79" s="22">
        <v>2.5</v>
      </c>
      <c r="AF79" s="22"/>
      <c r="AG79" s="27"/>
      <c r="AH79" s="28">
        <f t="shared" si="42"/>
        <v>8.75</v>
      </c>
      <c r="AI79" s="38">
        <v>20</v>
      </c>
      <c r="AJ79" s="22"/>
      <c r="AK79" s="22"/>
      <c r="AL79" s="22"/>
      <c r="AM79" s="42"/>
      <c r="AN79" s="30">
        <f t="shared" si="36"/>
        <v>20</v>
      </c>
      <c r="AO79" s="39">
        <v>14</v>
      </c>
      <c r="AP79" s="40" t="s">
        <v>239</v>
      </c>
      <c r="AQ79" s="33">
        <f t="shared" si="4"/>
        <v>14</v>
      </c>
      <c r="AR79" s="34">
        <f t="shared" si="44"/>
        <v>48.75</v>
      </c>
      <c r="AS79" s="370">
        <f t="shared" si="45"/>
        <v>0</v>
      </c>
      <c r="AT79" s="355">
        <v>34.1</v>
      </c>
      <c r="AU79" s="356">
        <f t="shared" si="46"/>
        <v>4</v>
      </c>
      <c r="AV79" s="357">
        <f t="shared" si="47"/>
        <v>13.333333333333334</v>
      </c>
      <c r="AW79" s="358">
        <f t="shared" si="48"/>
        <v>9.3333333333333375</v>
      </c>
      <c r="AX79" s="356">
        <f t="shared" si="58"/>
        <v>7.4333333333333282</v>
      </c>
      <c r="AY79" s="359">
        <f t="shared" si="59"/>
        <v>0.34985422740524796</v>
      </c>
      <c r="AZ79" s="360">
        <f t="shared" si="60"/>
        <v>0.65014577259475204</v>
      </c>
      <c r="BA79" s="287">
        <v>2492175</v>
      </c>
      <c r="BB79" s="287">
        <f t="shared" si="52"/>
        <v>51121.538461538461</v>
      </c>
    </row>
    <row r="80" spans="1:54" ht="15.75" thickBot="1" x14ac:dyDescent="0.3">
      <c r="A80" s="17" t="s">
        <v>240</v>
      </c>
      <c r="B80" s="17" t="s">
        <v>241</v>
      </c>
      <c r="C80" s="18" t="s">
        <v>54</v>
      </c>
      <c r="D80" s="18"/>
      <c r="E80" s="18"/>
      <c r="F80" s="18"/>
      <c r="G80" s="19" t="s">
        <v>57</v>
      </c>
      <c r="H80" s="19"/>
      <c r="I80" s="20"/>
      <c r="J80" s="20"/>
      <c r="K80" s="19"/>
      <c r="L80" s="21">
        <v>31.75</v>
      </c>
      <c r="M80" s="22">
        <v>12</v>
      </c>
      <c r="N80" s="22"/>
      <c r="O80" s="22"/>
      <c r="P80" s="22"/>
      <c r="Q80" s="22"/>
      <c r="R80" s="23">
        <f t="shared" si="40"/>
        <v>1</v>
      </c>
      <c r="S80" s="24">
        <f t="shared" si="1"/>
        <v>13</v>
      </c>
      <c r="T80" s="25">
        <f>IF($C80="",0,VLOOKUP($C80,'[1]Hoja 1'!$C$11:$D$27,2,FALSE)*M80)+IF($D80="",0,VLOOKUP($D80,'[1]Hoja 1'!$C$11:$D$27,2,FALSE)*N80)+IF($F80="",0,VLOOKUP($F80,'[1]Hoja 1'!$C$11:$D$27,2,FALSE)*P80)+IF(R80="",0,R80*0.5)</f>
        <v>6.5</v>
      </c>
      <c r="U80" s="22">
        <f t="shared" si="57"/>
        <v>4</v>
      </c>
      <c r="V80" s="22">
        <v>4</v>
      </c>
      <c r="W80" s="26">
        <v>2.25</v>
      </c>
      <c r="X80" s="22"/>
      <c r="Y80" s="22"/>
      <c r="Z80" s="22"/>
      <c r="AA80" s="22"/>
      <c r="AB80" s="22">
        <v>2</v>
      </c>
      <c r="AC80" s="22"/>
      <c r="AD80" s="36"/>
      <c r="AE80" s="22"/>
      <c r="AF80" s="22"/>
      <c r="AG80" s="27"/>
      <c r="AH80" s="28">
        <f t="shared" si="42"/>
        <v>18.75</v>
      </c>
      <c r="AI80" s="38"/>
      <c r="AJ80" s="22"/>
      <c r="AK80" s="22"/>
      <c r="AL80" s="22"/>
      <c r="AM80" s="42"/>
      <c r="AN80" s="30">
        <f t="shared" si="36"/>
        <v>0</v>
      </c>
      <c r="AO80" s="39"/>
      <c r="AP80" s="40"/>
      <c r="AQ80" s="33">
        <f t="shared" si="4"/>
        <v>0</v>
      </c>
      <c r="AR80" s="34">
        <f t="shared" si="44"/>
        <v>31.75</v>
      </c>
      <c r="AS80" s="370">
        <f t="shared" si="45"/>
        <v>0</v>
      </c>
      <c r="AT80" s="355">
        <v>25.25</v>
      </c>
      <c r="AU80" s="356">
        <f t="shared" si="46"/>
        <v>10</v>
      </c>
      <c r="AV80" s="357">
        <f t="shared" si="47"/>
        <v>0</v>
      </c>
      <c r="AW80" s="358">
        <f t="shared" si="48"/>
        <v>0</v>
      </c>
      <c r="AX80" s="356">
        <f t="shared" si="58"/>
        <v>15.25</v>
      </c>
      <c r="AY80" s="359">
        <f t="shared" si="59"/>
        <v>0.39603960396039606</v>
      </c>
      <c r="AZ80" s="360">
        <f t="shared" si="60"/>
        <v>0.60396039603960394</v>
      </c>
      <c r="BA80" s="287">
        <v>1464469</v>
      </c>
      <c r="BB80" s="287">
        <f t="shared" si="52"/>
        <v>46125.007874015748</v>
      </c>
    </row>
    <row r="81" spans="1:54" ht="15.75" thickBot="1" x14ac:dyDescent="0.3">
      <c r="A81" s="17" t="s">
        <v>242</v>
      </c>
      <c r="B81" s="17" t="s">
        <v>243</v>
      </c>
      <c r="C81" s="18" t="s">
        <v>56</v>
      </c>
      <c r="D81" s="18"/>
      <c r="E81" s="18"/>
      <c r="F81" s="18"/>
      <c r="G81" s="19"/>
      <c r="H81" s="19"/>
      <c r="I81" s="20"/>
      <c r="J81" s="20"/>
      <c r="K81" s="19"/>
      <c r="L81" s="21">
        <v>11</v>
      </c>
      <c r="M81" s="22">
        <v>3</v>
      </c>
      <c r="N81" s="22"/>
      <c r="O81" s="22"/>
      <c r="P81" s="22"/>
      <c r="Q81" s="22"/>
      <c r="R81" s="23" t="str">
        <f t="shared" si="40"/>
        <v/>
      </c>
      <c r="S81" s="24">
        <f t="shared" si="1"/>
        <v>3</v>
      </c>
      <c r="T81" s="25">
        <f>IF($C81="",0,VLOOKUP($C81,'[1]Hoja 1'!$C$11:$D$27,2,FALSE)*M81)+IF($D81="",0,VLOOKUP($D81,'[1]Hoja 1'!$C$11:$D$27,2,FALSE)*N81)+IF($F81="",0,VLOOKUP($F81,'[1]Hoja 1'!$C$11:$D$27,2,FALSE)*P81)+IF(R81="",0,R81*0.5)</f>
        <v>1.5</v>
      </c>
      <c r="U81" s="22" t="str">
        <f t="shared" si="57"/>
        <v/>
      </c>
      <c r="V81" s="22"/>
      <c r="W81" s="26">
        <v>1.5</v>
      </c>
      <c r="X81" s="22"/>
      <c r="Y81" s="22"/>
      <c r="Z81" s="22"/>
      <c r="AA81" s="22"/>
      <c r="AB81" s="22"/>
      <c r="AC81" s="22"/>
      <c r="AD81" s="36"/>
      <c r="AE81" s="22"/>
      <c r="AF81" s="22"/>
      <c r="AG81" s="27"/>
      <c r="AH81" s="28">
        <f t="shared" si="42"/>
        <v>3</v>
      </c>
      <c r="AI81" s="38"/>
      <c r="AJ81" s="22"/>
      <c r="AK81" s="47"/>
      <c r="AL81" s="47">
        <v>5</v>
      </c>
      <c r="AM81" s="48" t="s">
        <v>244</v>
      </c>
      <c r="AN81" s="30">
        <f t="shared" si="36"/>
        <v>5</v>
      </c>
      <c r="AO81" s="39"/>
      <c r="AP81" s="40"/>
      <c r="AQ81" s="33">
        <f t="shared" si="4"/>
        <v>0</v>
      </c>
      <c r="AR81" s="34">
        <f t="shared" si="44"/>
        <v>11</v>
      </c>
      <c r="AS81" s="370">
        <f t="shared" si="45"/>
        <v>0</v>
      </c>
      <c r="AT81" s="355">
        <v>9.0500000000000007</v>
      </c>
      <c r="AU81" s="356">
        <f t="shared" si="46"/>
        <v>2</v>
      </c>
      <c r="AV81" s="357">
        <f t="shared" si="47"/>
        <v>3.3333333333333335</v>
      </c>
      <c r="AW81" s="358">
        <f t="shared" si="48"/>
        <v>0</v>
      </c>
      <c r="AX81" s="356">
        <f t="shared" si="58"/>
        <v>3.7166666666666672</v>
      </c>
      <c r="AY81" s="359">
        <f t="shared" si="59"/>
        <v>0.3498542274052478</v>
      </c>
      <c r="AZ81" s="360">
        <f t="shared" si="60"/>
        <v>0.65014577259475226</v>
      </c>
      <c r="BA81" s="287">
        <v>463167</v>
      </c>
      <c r="BB81" s="287">
        <f t="shared" si="52"/>
        <v>42106.090909090912</v>
      </c>
    </row>
    <row r="82" spans="1:54" ht="15.75" thickBot="1" x14ac:dyDescent="0.3">
      <c r="A82" s="17" t="s">
        <v>245</v>
      </c>
      <c r="B82" s="17" t="s">
        <v>246</v>
      </c>
      <c r="C82" s="18" t="s">
        <v>47</v>
      </c>
      <c r="D82" s="18"/>
      <c r="E82" s="18"/>
      <c r="F82" s="18"/>
      <c r="G82" s="19" t="s">
        <v>57</v>
      </c>
      <c r="H82" s="19"/>
      <c r="I82" s="20"/>
      <c r="J82" s="20"/>
      <c r="K82" s="19"/>
      <c r="L82" s="21">
        <v>48.24</v>
      </c>
      <c r="M82" s="22">
        <v>19.66</v>
      </c>
      <c r="N82" s="22"/>
      <c r="O82" s="22"/>
      <c r="P82" s="22"/>
      <c r="Q82" s="22"/>
      <c r="R82" s="23">
        <f t="shared" si="40"/>
        <v>1</v>
      </c>
      <c r="S82" s="24">
        <f t="shared" si="1"/>
        <v>20.66</v>
      </c>
      <c r="T82" s="25">
        <f>IF($C82="",0,VLOOKUP($C82,'[1]Hoja 1'!$C$11:$D$27,2,FALSE)*M82)+IF($D82="",0,VLOOKUP($D82,'[1]Hoja 1'!$C$11:$D$27,2,FALSE)*N82)+IF($F82="",0,VLOOKUP($F82,'[1]Hoja 1'!$C$11:$D$27,2,FALSE)*P82)+IF(R82="",0,R82*0.5)</f>
        <v>10.33</v>
      </c>
      <c r="U82" s="22">
        <f t="shared" si="57"/>
        <v>4</v>
      </c>
      <c r="V82" s="22">
        <v>4</v>
      </c>
      <c r="W82" s="26">
        <v>2.25</v>
      </c>
      <c r="X82" s="22"/>
      <c r="Y82" s="22"/>
      <c r="Z82" s="22"/>
      <c r="AA82" s="22"/>
      <c r="AB82" s="22">
        <v>2</v>
      </c>
      <c r="AC82" s="22"/>
      <c r="AD82" s="36"/>
      <c r="AE82" s="22"/>
      <c r="AF82" s="22">
        <v>5</v>
      </c>
      <c r="AG82" s="42" t="s">
        <v>48</v>
      </c>
      <c r="AH82" s="28">
        <f t="shared" si="42"/>
        <v>27.58</v>
      </c>
      <c r="AI82" s="38"/>
      <c r="AJ82" s="31"/>
      <c r="AK82" s="49"/>
      <c r="AL82" s="50"/>
      <c r="AM82" s="50"/>
      <c r="AN82" s="51">
        <f t="shared" si="36"/>
        <v>0</v>
      </c>
      <c r="AO82" s="39"/>
      <c r="AP82" s="40"/>
      <c r="AQ82" s="33">
        <f t="shared" si="4"/>
        <v>0</v>
      </c>
      <c r="AR82" s="34">
        <f t="shared" si="44"/>
        <v>48.239999999999995</v>
      </c>
      <c r="AS82" s="370">
        <f t="shared" si="45"/>
        <v>0</v>
      </c>
      <c r="AT82" s="355">
        <v>36.376666666666665</v>
      </c>
      <c r="AU82" s="356">
        <f t="shared" si="46"/>
        <v>15.106666666666666</v>
      </c>
      <c r="AV82" s="357">
        <f t="shared" si="47"/>
        <v>0</v>
      </c>
      <c r="AW82" s="358">
        <f t="shared" si="48"/>
        <v>0</v>
      </c>
      <c r="AX82" s="356">
        <f t="shared" si="58"/>
        <v>21.27</v>
      </c>
      <c r="AY82" s="359">
        <f t="shared" si="59"/>
        <v>0.41528452304590852</v>
      </c>
      <c r="AZ82" s="360">
        <f t="shared" si="60"/>
        <v>0.58471547695409143</v>
      </c>
      <c r="BA82" s="287">
        <v>1833120</v>
      </c>
      <c r="BB82" s="287">
        <f t="shared" si="52"/>
        <v>38000</v>
      </c>
    </row>
    <row r="83" spans="1:54" ht="15.75" thickBot="1" x14ac:dyDescent="0.3">
      <c r="A83" s="17" t="s">
        <v>247</v>
      </c>
      <c r="B83" s="17" t="s">
        <v>248</v>
      </c>
      <c r="C83" s="18" t="s">
        <v>56</v>
      </c>
      <c r="D83" s="18"/>
      <c r="E83" s="18"/>
      <c r="F83" s="18"/>
      <c r="G83" s="19"/>
      <c r="H83" s="19"/>
      <c r="I83" s="20" t="s">
        <v>57</v>
      </c>
      <c r="J83" s="45" t="s">
        <v>205</v>
      </c>
      <c r="K83" s="19"/>
      <c r="L83" s="21">
        <v>50.25</v>
      </c>
      <c r="M83" s="22">
        <v>12</v>
      </c>
      <c r="N83" s="22"/>
      <c r="O83" s="22"/>
      <c r="P83" s="22"/>
      <c r="Q83" s="22"/>
      <c r="R83" s="23" t="str">
        <f t="shared" si="40"/>
        <v/>
      </c>
      <c r="S83" s="24">
        <f t="shared" si="1"/>
        <v>12</v>
      </c>
      <c r="T83" s="25">
        <f>IF($C83="",0,VLOOKUP($C83,'[1]Hoja 1'!$C$11:$D$27,2,FALSE)*M83)+IF($D83="",0,VLOOKUP($D83,'[1]Hoja 1'!$C$11:$D$27,2,FALSE)*N83)+IF($F83="",0,VLOOKUP($F83,'[1]Hoja 1'!$C$11:$D$27,2,FALSE)*P83)+IF(R83="",0,R83*0.5)</f>
        <v>6</v>
      </c>
      <c r="U83" s="22" t="str">
        <f t="shared" si="57"/>
        <v/>
      </c>
      <c r="V83" s="22"/>
      <c r="W83" s="26">
        <v>2.25</v>
      </c>
      <c r="X83" s="22"/>
      <c r="Y83" s="22"/>
      <c r="Z83" s="22"/>
      <c r="AA83" s="22"/>
      <c r="AB83" s="22"/>
      <c r="AC83" s="22">
        <v>1</v>
      </c>
      <c r="AD83" s="36"/>
      <c r="AE83" s="22">
        <v>2</v>
      </c>
      <c r="AF83" s="22"/>
      <c r="AG83" s="27"/>
      <c r="AH83" s="28">
        <f t="shared" si="42"/>
        <v>11.25</v>
      </c>
      <c r="AI83" s="38">
        <v>20</v>
      </c>
      <c r="AJ83" s="31"/>
      <c r="AK83" s="49"/>
      <c r="AL83" s="49"/>
      <c r="AM83" s="52"/>
      <c r="AN83" s="51">
        <f t="shared" si="36"/>
        <v>20</v>
      </c>
      <c r="AO83" s="39">
        <v>7</v>
      </c>
      <c r="AP83" s="40" t="s">
        <v>249</v>
      </c>
      <c r="AQ83" s="33">
        <f t="shared" si="4"/>
        <v>7</v>
      </c>
      <c r="AR83" s="34">
        <f t="shared" si="44"/>
        <v>50.25</v>
      </c>
      <c r="AS83" s="370">
        <f t="shared" si="45"/>
        <v>0</v>
      </c>
      <c r="AT83" s="355">
        <v>39.200000000000003</v>
      </c>
      <c r="AU83" s="356">
        <f t="shared" si="46"/>
        <v>8</v>
      </c>
      <c r="AV83" s="357">
        <f t="shared" si="47"/>
        <v>13.333333333333334</v>
      </c>
      <c r="AW83" s="358">
        <f t="shared" si="48"/>
        <v>4.6666666666666687</v>
      </c>
      <c r="AX83" s="356">
        <f t="shared" si="58"/>
        <v>13.2</v>
      </c>
      <c r="AY83" s="359">
        <f t="shared" si="59"/>
        <v>0.37735849056603776</v>
      </c>
      <c r="AZ83" s="360">
        <f t="shared" si="60"/>
        <v>0.62264150943396224</v>
      </c>
      <c r="BA83" s="287">
        <v>1910777</v>
      </c>
      <c r="BB83" s="287">
        <f t="shared" si="52"/>
        <v>38025.41293532338</v>
      </c>
    </row>
    <row r="84" spans="1:54" ht="15.75" thickBot="1" x14ac:dyDescent="0.3">
      <c r="A84" s="17" t="s">
        <v>250</v>
      </c>
      <c r="B84" s="17" t="s">
        <v>251</v>
      </c>
      <c r="C84" s="18" t="s">
        <v>80</v>
      </c>
      <c r="D84" s="18"/>
      <c r="E84" s="18"/>
      <c r="F84" s="18"/>
      <c r="G84" s="19"/>
      <c r="H84" s="19"/>
      <c r="I84" s="20"/>
      <c r="J84" s="20"/>
      <c r="K84" s="19"/>
      <c r="L84" s="21">
        <v>49.63</v>
      </c>
      <c r="M84" s="22">
        <v>35.75</v>
      </c>
      <c r="N84" s="22"/>
      <c r="O84" s="22"/>
      <c r="P84" s="22"/>
      <c r="Q84" s="22"/>
      <c r="R84" s="23" t="str">
        <f t="shared" si="40"/>
        <v/>
      </c>
      <c r="S84" s="24">
        <f t="shared" si="1"/>
        <v>35.75</v>
      </c>
      <c r="T84" s="25">
        <v>11.625</v>
      </c>
      <c r="U84" s="22" t="str">
        <f t="shared" si="57"/>
        <v/>
      </c>
      <c r="V84" s="22"/>
      <c r="W84" s="26">
        <v>2.25</v>
      </c>
      <c r="X84" s="22"/>
      <c r="Y84" s="22"/>
      <c r="Z84" s="22"/>
      <c r="AA84" s="22"/>
      <c r="AB84" s="22"/>
      <c r="AC84" s="22"/>
      <c r="AD84" s="36"/>
      <c r="AE84" s="22"/>
      <c r="AF84" s="22"/>
      <c r="AG84" s="27"/>
      <c r="AH84" s="28">
        <f t="shared" si="42"/>
        <v>13.875</v>
      </c>
      <c r="AI84" s="38"/>
      <c r="AJ84" s="22"/>
      <c r="AK84" s="22"/>
      <c r="AL84" s="22"/>
      <c r="AM84" s="42"/>
      <c r="AN84" s="30">
        <f t="shared" si="36"/>
        <v>0</v>
      </c>
      <c r="AO84" s="39"/>
      <c r="AP84" s="40"/>
      <c r="AQ84" s="33">
        <f t="shared" si="4"/>
        <v>0</v>
      </c>
      <c r="AR84" s="34">
        <f t="shared" si="44"/>
        <v>49.625</v>
      </c>
      <c r="AS84" s="370">
        <f t="shared" si="45"/>
        <v>5.000000000002558E-3</v>
      </c>
      <c r="AT84" s="355">
        <v>33.583333333333336</v>
      </c>
      <c r="AU84" s="356">
        <f t="shared" si="46"/>
        <v>23.833333333333332</v>
      </c>
      <c r="AV84" s="376">
        <f t="shared" si="47"/>
        <v>0</v>
      </c>
      <c r="AW84" s="358">
        <f t="shared" si="48"/>
        <v>0</v>
      </c>
      <c r="AX84" s="356">
        <f t="shared" si="58"/>
        <v>9.7500000000000036</v>
      </c>
      <c r="AY84" s="359">
        <f t="shared" si="59"/>
        <v>0.70967741935483863</v>
      </c>
      <c r="AZ84" s="360">
        <f t="shared" si="60"/>
        <v>0.29032258064516137</v>
      </c>
      <c r="BA84" s="287">
        <v>1377421</v>
      </c>
      <c r="BB84" s="287">
        <f t="shared" si="52"/>
        <v>27753.798105984282</v>
      </c>
    </row>
    <row r="85" spans="1:54" ht="15.75" thickBot="1" x14ac:dyDescent="0.3">
      <c r="A85" s="17" t="s">
        <v>252</v>
      </c>
      <c r="B85" s="17" t="s">
        <v>253</v>
      </c>
      <c r="C85" s="18" t="s">
        <v>114</v>
      </c>
      <c r="D85" s="18"/>
      <c r="E85" s="18"/>
      <c r="F85" s="18"/>
      <c r="G85" s="19" t="s">
        <v>57</v>
      </c>
      <c r="H85" s="19"/>
      <c r="I85" s="20"/>
      <c r="J85" s="20"/>
      <c r="K85" s="19"/>
      <c r="L85" s="21">
        <v>47.75</v>
      </c>
      <c r="M85" s="22">
        <v>17</v>
      </c>
      <c r="N85" s="22"/>
      <c r="O85" s="22"/>
      <c r="P85" s="22"/>
      <c r="Q85" s="22">
        <v>10</v>
      </c>
      <c r="R85" s="23">
        <f t="shared" si="40"/>
        <v>1</v>
      </c>
      <c r="S85" s="24">
        <f t="shared" si="1"/>
        <v>28</v>
      </c>
      <c r="T85" s="25">
        <f>IF($C85="",0,VLOOKUP($C85,'[1]Hoja 1'!$C$11:$D$27,2,FALSE)*M85)+IF($D85="",0,VLOOKUP($D85,'[1]Hoja 1'!$C$11:$D$27,2,FALSE)*N85)+IF($F85="",0,VLOOKUP($F85,'[1]Hoja 1'!$C$11:$D$27,2,FALSE)*P85)+IF(R85="",0,R85*0.5)</f>
        <v>9</v>
      </c>
      <c r="U85" s="22">
        <v>5</v>
      </c>
      <c r="V85" s="22"/>
      <c r="W85" s="26">
        <v>2.25</v>
      </c>
      <c r="X85" s="22"/>
      <c r="Y85" s="22"/>
      <c r="Z85" s="22"/>
      <c r="AA85" s="22"/>
      <c r="AB85" s="22"/>
      <c r="AC85" s="22">
        <v>1</v>
      </c>
      <c r="AD85" s="36">
        <v>1</v>
      </c>
      <c r="AE85" s="22">
        <v>1.5</v>
      </c>
      <c r="AF85" s="22"/>
      <c r="AG85" s="27" t="s">
        <v>175</v>
      </c>
      <c r="AH85" s="28">
        <f t="shared" si="42"/>
        <v>19.75</v>
      </c>
      <c r="AI85" s="38"/>
      <c r="AJ85" s="22"/>
      <c r="AK85" s="22"/>
      <c r="AL85" s="22"/>
      <c r="AM85" s="42"/>
      <c r="AN85" s="30">
        <f t="shared" si="36"/>
        <v>0</v>
      </c>
      <c r="AO85" s="39"/>
      <c r="AP85" s="40"/>
      <c r="AQ85" s="33">
        <f t="shared" si="4"/>
        <v>0</v>
      </c>
      <c r="AR85" s="34">
        <f t="shared" si="44"/>
        <v>47.75</v>
      </c>
      <c r="AS85" s="370">
        <f t="shared" si="45"/>
        <v>0</v>
      </c>
      <c r="AT85" s="355">
        <v>33.466666666666669</v>
      </c>
      <c r="AU85" s="356">
        <f t="shared" si="46"/>
        <v>18.666666666666668</v>
      </c>
      <c r="AV85" s="357">
        <f t="shared" si="47"/>
        <v>0</v>
      </c>
      <c r="AW85" s="358">
        <f t="shared" si="48"/>
        <v>0</v>
      </c>
      <c r="AX85" s="356">
        <f t="shared" si="58"/>
        <v>14.8</v>
      </c>
      <c r="AY85" s="359">
        <f t="shared" si="59"/>
        <v>0.55776892430278879</v>
      </c>
      <c r="AZ85" s="360">
        <f t="shared" si="60"/>
        <v>0.44223107569721115</v>
      </c>
      <c r="BA85" s="287">
        <v>1416981</v>
      </c>
      <c r="BB85" s="287">
        <f t="shared" si="52"/>
        <v>29674.994764397907</v>
      </c>
    </row>
    <row r="86" spans="1:54" ht="15.75" thickBot="1" x14ac:dyDescent="0.3">
      <c r="A86" s="17" t="s">
        <v>254</v>
      </c>
      <c r="B86" s="17" t="s">
        <v>255</v>
      </c>
      <c r="C86" s="18" t="s">
        <v>80</v>
      </c>
      <c r="D86" s="18"/>
      <c r="E86" s="18"/>
      <c r="F86" s="18"/>
      <c r="G86" s="19"/>
      <c r="H86" s="19"/>
      <c r="I86" s="20"/>
      <c r="J86" s="20"/>
      <c r="K86" s="19"/>
      <c r="L86" s="21">
        <v>49.63</v>
      </c>
      <c r="M86" s="22">
        <v>35.75</v>
      </c>
      <c r="N86" s="22"/>
      <c r="O86" s="22"/>
      <c r="P86" s="22"/>
      <c r="Q86" s="22"/>
      <c r="R86" s="23" t="str">
        <f t="shared" si="40"/>
        <v/>
      </c>
      <c r="S86" s="24">
        <f t="shared" si="1"/>
        <v>35.75</v>
      </c>
      <c r="T86" s="25">
        <v>11.625</v>
      </c>
      <c r="U86" s="22" t="str">
        <f t="shared" ref="U86:U92" si="61">IF(G86="x",4,"")</f>
        <v/>
      </c>
      <c r="V86" s="22"/>
      <c r="W86" s="26">
        <v>2.25</v>
      </c>
      <c r="X86" s="22"/>
      <c r="Y86" s="22"/>
      <c r="Z86" s="22"/>
      <c r="AA86" s="22"/>
      <c r="AB86" s="22"/>
      <c r="AC86" s="22"/>
      <c r="AD86" s="36"/>
      <c r="AE86" s="22"/>
      <c r="AF86" s="22"/>
      <c r="AG86" s="27"/>
      <c r="AH86" s="28">
        <f t="shared" si="42"/>
        <v>13.875</v>
      </c>
      <c r="AI86" s="38"/>
      <c r="AJ86" s="22"/>
      <c r="AK86" s="22"/>
      <c r="AL86" s="22"/>
      <c r="AM86" s="42"/>
      <c r="AN86" s="30">
        <f t="shared" si="36"/>
        <v>0</v>
      </c>
      <c r="AO86" s="39"/>
      <c r="AP86" s="40"/>
      <c r="AQ86" s="33">
        <f t="shared" si="4"/>
        <v>0</v>
      </c>
      <c r="AR86" s="34">
        <f t="shared" si="44"/>
        <v>49.625</v>
      </c>
      <c r="AS86" s="370">
        <f t="shared" si="45"/>
        <v>5.000000000002558E-3</v>
      </c>
      <c r="AT86" s="355">
        <v>33.594999999999999</v>
      </c>
      <c r="AU86" s="356">
        <f t="shared" si="46"/>
        <v>23.833333333333332</v>
      </c>
      <c r="AV86" s="376">
        <f t="shared" si="47"/>
        <v>0</v>
      </c>
      <c r="AW86" s="358">
        <f t="shared" si="48"/>
        <v>0</v>
      </c>
      <c r="AX86" s="356">
        <f t="shared" si="58"/>
        <v>9.7616666666666667</v>
      </c>
      <c r="AY86" s="359">
        <f t="shared" si="59"/>
        <v>0.70943096690975838</v>
      </c>
      <c r="AZ86" s="360">
        <f t="shared" si="60"/>
        <v>0.29056903309024162</v>
      </c>
      <c r="BA86" s="287">
        <v>1377419</v>
      </c>
      <c r="BB86" s="287">
        <f t="shared" si="52"/>
        <v>27753.757807777554</v>
      </c>
    </row>
    <row r="87" spans="1:54" ht="15.75" thickBot="1" x14ac:dyDescent="0.3">
      <c r="A87" s="17" t="s">
        <v>256</v>
      </c>
      <c r="B87" s="17" t="s">
        <v>257</v>
      </c>
      <c r="C87" s="18" t="s">
        <v>98</v>
      </c>
      <c r="D87" s="18" t="s">
        <v>99</v>
      </c>
      <c r="E87" s="18"/>
      <c r="F87" s="18"/>
      <c r="G87" s="19"/>
      <c r="H87" s="19" t="s">
        <v>57</v>
      </c>
      <c r="I87" s="20"/>
      <c r="J87" s="20"/>
      <c r="K87" s="19"/>
      <c r="L87" s="21">
        <v>46.75</v>
      </c>
      <c r="M87" s="22">
        <v>9</v>
      </c>
      <c r="N87" s="22">
        <v>8</v>
      </c>
      <c r="O87" s="22"/>
      <c r="P87" s="22"/>
      <c r="Q87" s="22"/>
      <c r="R87" s="23" t="str">
        <f t="shared" si="40"/>
        <v/>
      </c>
      <c r="S87" s="24">
        <f t="shared" si="1"/>
        <v>17</v>
      </c>
      <c r="T87" s="25">
        <f>IF($C87="",0,VLOOKUP($C87,'[1]Hoja 1'!$C$11:$D$27,2,FALSE)*M87)+IF($D87="",0,VLOOKUP($D87,'[1]Hoja 1'!$C$11:$D$27,2,FALSE)*N87)+IF($F87="",0,VLOOKUP($F87,'[1]Hoja 1'!$C$11:$D$27,2,FALSE)*P87)+IF(R87="",0,R87*0.5)</f>
        <v>8.5</v>
      </c>
      <c r="U87" s="22" t="str">
        <f t="shared" si="61"/>
        <v/>
      </c>
      <c r="V87" s="22"/>
      <c r="W87" s="26">
        <v>2.25</v>
      </c>
      <c r="X87" s="22"/>
      <c r="Y87" s="22"/>
      <c r="Z87" s="22"/>
      <c r="AA87" s="22"/>
      <c r="AB87" s="22">
        <v>1</v>
      </c>
      <c r="AC87" s="22"/>
      <c r="AD87" s="36"/>
      <c r="AE87" s="22"/>
      <c r="AF87" s="22"/>
      <c r="AG87" s="27"/>
      <c r="AH87" s="28">
        <f t="shared" si="42"/>
        <v>11.75</v>
      </c>
      <c r="AI87" s="38"/>
      <c r="AJ87" s="22">
        <v>6</v>
      </c>
      <c r="AK87" s="22"/>
      <c r="AL87" s="22">
        <v>12</v>
      </c>
      <c r="AM87" s="42" t="s">
        <v>258</v>
      </c>
      <c r="AN87" s="30">
        <f t="shared" si="36"/>
        <v>18</v>
      </c>
      <c r="AO87" s="39"/>
      <c r="AP87" s="40"/>
      <c r="AQ87" s="33">
        <f t="shared" si="4"/>
        <v>0</v>
      </c>
      <c r="AR87" s="34">
        <f t="shared" si="44"/>
        <v>46.75</v>
      </c>
      <c r="AS87" s="370">
        <f t="shared" si="45"/>
        <v>0</v>
      </c>
      <c r="AT87" s="355">
        <v>33.299999999999997</v>
      </c>
      <c r="AU87" s="356">
        <f t="shared" si="46"/>
        <v>12</v>
      </c>
      <c r="AV87" s="357">
        <f t="shared" si="47"/>
        <v>12</v>
      </c>
      <c r="AW87" s="358">
        <f t="shared" si="48"/>
        <v>0</v>
      </c>
      <c r="AX87" s="356">
        <f t="shared" si="58"/>
        <v>9.2999999999999972</v>
      </c>
      <c r="AY87" s="359">
        <f t="shared" si="59"/>
        <v>0.56338028169014087</v>
      </c>
      <c r="AZ87" s="360">
        <f t="shared" si="60"/>
        <v>0.43661971830985907</v>
      </c>
      <c r="BA87" s="287">
        <v>1620656</v>
      </c>
      <c r="BB87" s="287">
        <f t="shared" si="52"/>
        <v>34666.438502673795</v>
      </c>
    </row>
    <row r="88" spans="1:54" ht="15.75" thickBot="1" x14ac:dyDescent="0.3">
      <c r="A88" s="17" t="s">
        <v>259</v>
      </c>
      <c r="B88" s="17" t="s">
        <v>260</v>
      </c>
      <c r="C88" s="18" t="s">
        <v>80</v>
      </c>
      <c r="D88" s="18"/>
      <c r="E88" s="18"/>
      <c r="F88" s="18"/>
      <c r="G88" s="19"/>
      <c r="H88" s="19"/>
      <c r="I88" s="20"/>
      <c r="J88" s="20"/>
      <c r="K88" s="19"/>
      <c r="L88" s="21">
        <v>49.63</v>
      </c>
      <c r="M88" s="22">
        <v>35.75</v>
      </c>
      <c r="N88" s="22"/>
      <c r="O88" s="22"/>
      <c r="P88" s="22"/>
      <c r="Q88" s="22"/>
      <c r="R88" s="23" t="str">
        <f t="shared" si="40"/>
        <v/>
      </c>
      <c r="S88" s="24">
        <f t="shared" si="1"/>
        <v>35.75</v>
      </c>
      <c r="T88" s="25">
        <v>11.625</v>
      </c>
      <c r="U88" s="22" t="str">
        <f t="shared" si="61"/>
        <v/>
      </c>
      <c r="V88" s="22"/>
      <c r="W88" s="26">
        <v>2.25</v>
      </c>
      <c r="X88" s="22"/>
      <c r="Y88" s="22"/>
      <c r="Z88" s="22"/>
      <c r="AA88" s="22"/>
      <c r="AB88" s="22"/>
      <c r="AC88" s="22"/>
      <c r="AD88" s="36"/>
      <c r="AE88" s="22"/>
      <c r="AF88" s="22"/>
      <c r="AG88" s="27"/>
      <c r="AH88" s="28">
        <f t="shared" si="42"/>
        <v>13.875</v>
      </c>
      <c r="AI88" s="38"/>
      <c r="AJ88" s="22"/>
      <c r="AK88" s="22"/>
      <c r="AL88" s="22"/>
      <c r="AM88" s="42"/>
      <c r="AN88" s="30">
        <f t="shared" si="36"/>
        <v>0</v>
      </c>
      <c r="AO88" s="39"/>
      <c r="AP88" s="40"/>
      <c r="AQ88" s="33">
        <f t="shared" si="4"/>
        <v>0</v>
      </c>
      <c r="AR88" s="34">
        <f t="shared" si="44"/>
        <v>49.625</v>
      </c>
      <c r="AS88" s="370">
        <f t="shared" si="45"/>
        <v>5.000000000002558E-3</v>
      </c>
      <c r="AT88" s="355">
        <v>33.594999999999999</v>
      </c>
      <c r="AU88" s="356">
        <f t="shared" si="46"/>
        <v>23.833333333333332</v>
      </c>
      <c r="AV88" s="376">
        <f t="shared" si="47"/>
        <v>0</v>
      </c>
      <c r="AW88" s="358">
        <f t="shared" si="48"/>
        <v>0</v>
      </c>
      <c r="AX88" s="356">
        <f t="shared" si="58"/>
        <v>9.7616666666666667</v>
      </c>
      <c r="AY88" s="359">
        <f t="shared" si="59"/>
        <v>0.70943096690975838</v>
      </c>
      <c r="AZ88" s="360">
        <f t="shared" si="60"/>
        <v>0.29056903309024162</v>
      </c>
      <c r="BA88" s="287">
        <v>1340010</v>
      </c>
      <c r="BB88" s="287">
        <f t="shared" si="52"/>
        <v>27000</v>
      </c>
    </row>
    <row r="89" spans="1:54" ht="15.75" thickBot="1" x14ac:dyDescent="0.3">
      <c r="A89" s="17" t="s">
        <v>261</v>
      </c>
      <c r="B89" s="17" t="s">
        <v>262</v>
      </c>
      <c r="C89" s="18" t="s">
        <v>109</v>
      </c>
      <c r="D89" s="18"/>
      <c r="E89" s="18"/>
      <c r="F89" s="18"/>
      <c r="G89" s="19"/>
      <c r="H89" s="19" t="s">
        <v>57</v>
      </c>
      <c r="I89" s="20"/>
      <c r="J89" s="20"/>
      <c r="K89" s="19"/>
      <c r="L89" s="21">
        <v>31.25</v>
      </c>
      <c r="M89" s="22">
        <v>12</v>
      </c>
      <c r="N89" s="22"/>
      <c r="O89" s="22"/>
      <c r="P89" s="22"/>
      <c r="Q89" s="22"/>
      <c r="R89" s="23" t="str">
        <f t="shared" si="40"/>
        <v/>
      </c>
      <c r="S89" s="24">
        <f t="shared" si="1"/>
        <v>12</v>
      </c>
      <c r="T89" s="25">
        <f>IF($C89="",0,VLOOKUP($C89,'[1]Hoja 1'!$C$11:$D$27,2,FALSE)*M89)+IF($D89="",0,VLOOKUP($D89,'[1]Hoja 1'!$C$11:$D$27,2,FALSE)*N89)+IF($F89="",0,VLOOKUP($F89,'[1]Hoja 1'!$C$11:$D$27,2,FALSE)*P89)+IF(R89="",0,R89*0.5)</f>
        <v>6</v>
      </c>
      <c r="U89" s="22" t="str">
        <f t="shared" si="61"/>
        <v/>
      </c>
      <c r="V89" s="22"/>
      <c r="W89" s="26">
        <v>2.25</v>
      </c>
      <c r="X89" s="22"/>
      <c r="Y89" s="22"/>
      <c r="Z89" s="22"/>
      <c r="AA89" s="22"/>
      <c r="AB89" s="22">
        <v>2</v>
      </c>
      <c r="AC89" s="22"/>
      <c r="AD89" s="36"/>
      <c r="AE89" s="22"/>
      <c r="AF89" s="22"/>
      <c r="AG89" s="27"/>
      <c r="AH89" s="28">
        <f t="shared" si="42"/>
        <v>10.25</v>
      </c>
      <c r="AI89" s="38"/>
      <c r="AJ89" s="22">
        <v>9</v>
      </c>
      <c r="AK89" s="22"/>
      <c r="AL89" s="22"/>
      <c r="AM89" s="42"/>
      <c r="AN89" s="30">
        <f t="shared" si="36"/>
        <v>9</v>
      </c>
      <c r="AO89" s="39"/>
      <c r="AP89" s="40"/>
      <c r="AQ89" s="33">
        <f t="shared" si="4"/>
        <v>0</v>
      </c>
      <c r="AR89" s="34">
        <f t="shared" si="44"/>
        <v>31.25</v>
      </c>
      <c r="AS89" s="370">
        <f t="shared" si="45"/>
        <v>0</v>
      </c>
      <c r="AT89" s="355">
        <v>24.233333333333334</v>
      </c>
      <c r="AU89" s="356">
        <f t="shared" si="46"/>
        <v>9.3333333333333339</v>
      </c>
      <c r="AV89" s="357">
        <f t="shared" si="47"/>
        <v>6</v>
      </c>
      <c r="AW89" s="358">
        <f t="shared" si="48"/>
        <v>0</v>
      </c>
      <c r="AX89" s="356">
        <f t="shared" si="58"/>
        <v>8.9</v>
      </c>
      <c r="AY89" s="359">
        <f t="shared" si="59"/>
        <v>0.51188299817184646</v>
      </c>
      <c r="AZ89" s="360">
        <f t="shared" si="60"/>
        <v>0.48811700182815354</v>
      </c>
      <c r="BA89" s="287">
        <v>1248004</v>
      </c>
      <c r="BB89" s="287">
        <f t="shared" si="52"/>
        <v>39936.127999999997</v>
      </c>
    </row>
    <row r="90" spans="1:54" ht="15.75" thickBot="1" x14ac:dyDescent="0.3">
      <c r="A90" s="17" t="s">
        <v>263</v>
      </c>
      <c r="B90" s="17" t="s">
        <v>264</v>
      </c>
      <c r="C90" s="18" t="s">
        <v>109</v>
      </c>
      <c r="D90" s="18"/>
      <c r="E90" s="18"/>
      <c r="F90" s="18"/>
      <c r="G90" s="19" t="s">
        <v>57</v>
      </c>
      <c r="H90" s="19"/>
      <c r="I90" s="20"/>
      <c r="J90" s="20"/>
      <c r="K90" s="19"/>
      <c r="L90" s="21">
        <v>46.75</v>
      </c>
      <c r="M90" s="22">
        <v>20</v>
      </c>
      <c r="N90" s="22"/>
      <c r="O90" s="22"/>
      <c r="P90" s="22"/>
      <c r="Q90" s="22"/>
      <c r="R90" s="23">
        <f t="shared" si="40"/>
        <v>1</v>
      </c>
      <c r="S90" s="24">
        <f t="shared" si="1"/>
        <v>21</v>
      </c>
      <c r="T90" s="25">
        <f>IF($C90="",0,VLOOKUP($C90,'[1]Hoja 1'!$C$11:$D$27,2,FALSE)*M90)+IF($D90="",0,VLOOKUP($D90,'[1]Hoja 1'!$C$11:$D$27,2,FALSE)*N90)+IF($F90="",0,VLOOKUP($F90,'[1]Hoja 1'!$C$11:$D$27,2,FALSE)*P90)+IF(R90="",0,R90*0.5)</f>
        <v>10.5</v>
      </c>
      <c r="U90" s="22">
        <f t="shared" si="61"/>
        <v>4</v>
      </c>
      <c r="V90" s="22">
        <v>4</v>
      </c>
      <c r="W90" s="26">
        <v>2.25</v>
      </c>
      <c r="X90" s="22"/>
      <c r="Y90" s="22"/>
      <c r="Z90" s="22"/>
      <c r="AA90" s="22"/>
      <c r="AB90" s="22">
        <v>2</v>
      </c>
      <c r="AC90" s="22">
        <v>1</v>
      </c>
      <c r="AD90" s="36">
        <v>2</v>
      </c>
      <c r="AE90" s="22"/>
      <c r="AF90" s="22"/>
      <c r="AG90" s="27"/>
      <c r="AH90" s="28">
        <f t="shared" si="42"/>
        <v>25.75</v>
      </c>
      <c r="AI90" s="38"/>
      <c r="AJ90" s="22"/>
      <c r="AK90" s="22"/>
      <c r="AL90" s="22"/>
      <c r="AM90" s="42"/>
      <c r="AN90" s="30">
        <f t="shared" si="36"/>
        <v>0</v>
      </c>
      <c r="AO90" s="39"/>
      <c r="AP90" s="40"/>
      <c r="AQ90" s="33">
        <f t="shared" si="4"/>
        <v>0</v>
      </c>
      <c r="AR90" s="34">
        <f t="shared" si="44"/>
        <v>46.75</v>
      </c>
      <c r="AS90" s="370">
        <f t="shared" si="45"/>
        <v>0</v>
      </c>
      <c r="AT90" s="355">
        <v>34.383333333333333</v>
      </c>
      <c r="AU90" s="356">
        <f t="shared" si="46"/>
        <v>15.333333333333334</v>
      </c>
      <c r="AV90" s="357">
        <f t="shared" si="47"/>
        <v>0</v>
      </c>
      <c r="AW90" s="358">
        <f t="shared" si="48"/>
        <v>0</v>
      </c>
      <c r="AX90" s="356">
        <f t="shared" si="58"/>
        <v>19.049999999999997</v>
      </c>
      <c r="AY90" s="359">
        <f t="shared" si="59"/>
        <v>0.44595249636451773</v>
      </c>
      <c r="AZ90" s="360">
        <f t="shared" si="60"/>
        <v>0.55404750363548227</v>
      </c>
      <c r="BA90" s="287">
        <v>2010849</v>
      </c>
      <c r="BB90" s="287">
        <f t="shared" si="52"/>
        <v>43012.812834224598</v>
      </c>
    </row>
    <row r="91" spans="1:54" ht="15.75" thickBot="1" x14ac:dyDescent="0.3">
      <c r="A91" s="17" t="s">
        <v>265</v>
      </c>
      <c r="B91" s="17" t="s">
        <v>266</v>
      </c>
      <c r="C91" s="18" t="s">
        <v>109</v>
      </c>
      <c r="D91" s="18"/>
      <c r="E91" s="18"/>
      <c r="F91" s="18"/>
      <c r="G91" s="19" t="s">
        <v>57</v>
      </c>
      <c r="H91" s="19"/>
      <c r="I91" s="20"/>
      <c r="J91" s="20"/>
      <c r="K91" s="19"/>
      <c r="L91" s="21">
        <v>50.25</v>
      </c>
      <c r="M91" s="22">
        <v>23</v>
      </c>
      <c r="N91" s="22"/>
      <c r="O91" s="22"/>
      <c r="P91" s="22"/>
      <c r="Q91" s="22"/>
      <c r="R91" s="23">
        <f t="shared" si="40"/>
        <v>1</v>
      </c>
      <c r="S91" s="24">
        <f t="shared" si="1"/>
        <v>24</v>
      </c>
      <c r="T91" s="25">
        <f>IF($C91="",0,VLOOKUP($C91,'[1]Hoja 1'!$C$11:$D$27,2,FALSE)*M91)+IF($D91="",0,VLOOKUP($D91,'[1]Hoja 1'!$C$11:$D$27,2,FALSE)*N91)+IF($F91="",0,VLOOKUP($F91,'[1]Hoja 1'!$C$11:$D$27,2,FALSE)*P91)+IF(R91="",0,R91*0.5)</f>
        <v>12</v>
      </c>
      <c r="U91" s="22">
        <f t="shared" si="61"/>
        <v>4</v>
      </c>
      <c r="V91" s="22">
        <v>4</v>
      </c>
      <c r="W91" s="26">
        <v>2.25</v>
      </c>
      <c r="X91" s="22"/>
      <c r="Y91" s="22"/>
      <c r="Z91" s="22"/>
      <c r="AA91" s="22"/>
      <c r="AB91" s="22">
        <v>3</v>
      </c>
      <c r="AC91" s="22"/>
      <c r="AD91" s="36">
        <v>1</v>
      </c>
      <c r="AE91" s="22"/>
      <c r="AF91" s="22"/>
      <c r="AG91" s="27"/>
      <c r="AH91" s="28">
        <f t="shared" si="42"/>
        <v>26.25</v>
      </c>
      <c r="AI91" s="38"/>
      <c r="AJ91" s="22"/>
      <c r="AK91" s="22"/>
      <c r="AL91" s="22"/>
      <c r="AM91" s="42"/>
      <c r="AN91" s="30">
        <f t="shared" si="36"/>
        <v>0</v>
      </c>
      <c r="AO91" s="39"/>
      <c r="AP91" s="40"/>
      <c r="AQ91" s="33">
        <f t="shared" si="4"/>
        <v>0</v>
      </c>
      <c r="AR91" s="34">
        <f t="shared" si="44"/>
        <v>50.25</v>
      </c>
      <c r="AS91" s="370">
        <f t="shared" si="45"/>
        <v>0</v>
      </c>
      <c r="AT91" s="355">
        <v>36.450000000000003</v>
      </c>
      <c r="AU91" s="356">
        <f t="shared" si="46"/>
        <v>18</v>
      </c>
      <c r="AV91" s="357">
        <f t="shared" si="47"/>
        <v>0</v>
      </c>
      <c r="AW91" s="358">
        <f t="shared" si="48"/>
        <v>0</v>
      </c>
      <c r="AX91" s="356">
        <f t="shared" si="58"/>
        <v>18.450000000000003</v>
      </c>
      <c r="AY91" s="359">
        <f t="shared" si="59"/>
        <v>0.49382716049382713</v>
      </c>
      <c r="AZ91" s="360">
        <f t="shared" si="60"/>
        <v>0.50617283950617287</v>
      </c>
      <c r="BA91" s="287">
        <v>2726614</v>
      </c>
      <c r="BB91" s="287">
        <f t="shared" si="52"/>
        <v>54260.975124378107</v>
      </c>
    </row>
    <row r="92" spans="1:54" ht="15.75" thickBot="1" x14ac:dyDescent="0.3">
      <c r="A92" s="17" t="s">
        <v>267</v>
      </c>
      <c r="B92" s="17" t="s">
        <v>268</v>
      </c>
      <c r="C92" s="18" t="s">
        <v>80</v>
      </c>
      <c r="D92" s="18"/>
      <c r="E92" s="18"/>
      <c r="F92" s="18"/>
      <c r="G92" s="19"/>
      <c r="H92" s="19"/>
      <c r="I92" s="20"/>
      <c r="J92" s="20"/>
      <c r="K92" s="19"/>
      <c r="L92" s="21">
        <v>49.63</v>
      </c>
      <c r="M92" s="22">
        <v>35.75</v>
      </c>
      <c r="N92" s="22"/>
      <c r="O92" s="22"/>
      <c r="P92" s="22"/>
      <c r="Q92" s="22"/>
      <c r="R92" s="23" t="str">
        <f t="shared" si="40"/>
        <v/>
      </c>
      <c r="S92" s="24">
        <f t="shared" si="1"/>
        <v>35.75</v>
      </c>
      <c r="T92" s="25">
        <v>11.625</v>
      </c>
      <c r="U92" s="22" t="str">
        <f t="shared" si="61"/>
        <v/>
      </c>
      <c r="V92" s="22"/>
      <c r="W92" s="26">
        <v>2.25</v>
      </c>
      <c r="X92" s="22"/>
      <c r="Y92" s="22"/>
      <c r="Z92" s="22"/>
      <c r="AA92" s="22"/>
      <c r="AB92" s="22"/>
      <c r="AC92" s="22"/>
      <c r="AD92" s="36"/>
      <c r="AE92" s="22"/>
      <c r="AF92" s="22"/>
      <c r="AG92" s="27"/>
      <c r="AH92" s="28">
        <f t="shared" si="42"/>
        <v>13.875</v>
      </c>
      <c r="AI92" s="38"/>
      <c r="AJ92" s="22"/>
      <c r="AK92" s="22"/>
      <c r="AL92" s="22"/>
      <c r="AM92" s="42"/>
      <c r="AN92" s="30">
        <f t="shared" si="36"/>
        <v>0</v>
      </c>
      <c r="AO92" s="39"/>
      <c r="AP92" s="40"/>
      <c r="AQ92" s="33">
        <f t="shared" si="4"/>
        <v>0</v>
      </c>
      <c r="AR92" s="34">
        <f t="shared" si="44"/>
        <v>49.625</v>
      </c>
      <c r="AS92" s="370">
        <f t="shared" si="45"/>
        <v>5.000000000002558E-3</v>
      </c>
      <c r="AT92" s="355">
        <v>33.594999999999999</v>
      </c>
      <c r="AU92" s="356">
        <f t="shared" si="46"/>
        <v>23.833333333333332</v>
      </c>
      <c r="AV92" s="376">
        <f t="shared" si="47"/>
        <v>0</v>
      </c>
      <c r="AW92" s="358">
        <f t="shared" si="48"/>
        <v>0</v>
      </c>
      <c r="AX92" s="356">
        <f t="shared" si="58"/>
        <v>9.7616666666666667</v>
      </c>
      <c r="AY92" s="359">
        <f t="shared" si="59"/>
        <v>0.70943096690975838</v>
      </c>
      <c r="AZ92" s="360">
        <f t="shared" si="60"/>
        <v>0.29056903309024162</v>
      </c>
      <c r="BA92" s="287">
        <v>1502812</v>
      </c>
      <c r="BB92" s="287">
        <f t="shared" si="52"/>
        <v>30280.314326012493</v>
      </c>
    </row>
    <row r="93" spans="1:54" ht="15.75" thickBot="1" x14ac:dyDescent="0.3">
      <c r="A93" s="17" t="s">
        <v>269</v>
      </c>
      <c r="B93" s="17" t="s">
        <v>270</v>
      </c>
      <c r="C93" s="18" t="s">
        <v>114</v>
      </c>
      <c r="D93" s="18"/>
      <c r="E93" s="18"/>
      <c r="F93" s="18"/>
      <c r="G93" s="19" t="s">
        <v>57</v>
      </c>
      <c r="H93" s="19"/>
      <c r="I93" s="20"/>
      <c r="J93" s="20"/>
      <c r="K93" s="19"/>
      <c r="L93" s="21">
        <v>50.5</v>
      </c>
      <c r="M93" s="22">
        <v>17</v>
      </c>
      <c r="N93" s="22"/>
      <c r="O93" s="22"/>
      <c r="P93" s="22"/>
      <c r="Q93" s="22">
        <v>10</v>
      </c>
      <c r="R93" s="23">
        <f t="shared" si="40"/>
        <v>1</v>
      </c>
      <c r="S93" s="24">
        <f t="shared" si="1"/>
        <v>28</v>
      </c>
      <c r="T93" s="25">
        <v>9.25</v>
      </c>
      <c r="U93" s="22">
        <v>5</v>
      </c>
      <c r="V93" s="22"/>
      <c r="W93" s="26">
        <v>2.25</v>
      </c>
      <c r="X93" s="22"/>
      <c r="Y93" s="22"/>
      <c r="Z93" s="22"/>
      <c r="AA93" s="22"/>
      <c r="AB93" s="22">
        <v>1</v>
      </c>
      <c r="AC93" s="22">
        <v>2</v>
      </c>
      <c r="AD93" s="36">
        <v>1.5</v>
      </c>
      <c r="AE93" s="22">
        <v>1.5</v>
      </c>
      <c r="AF93" s="22"/>
      <c r="AG93" s="27" t="s">
        <v>175</v>
      </c>
      <c r="AH93" s="28">
        <f t="shared" si="42"/>
        <v>22.5</v>
      </c>
      <c r="AI93" s="38"/>
      <c r="AJ93" s="22"/>
      <c r="AK93" s="22"/>
      <c r="AL93" s="22"/>
      <c r="AM93" s="42"/>
      <c r="AN93" s="30">
        <f t="shared" si="36"/>
        <v>0</v>
      </c>
      <c r="AO93" s="39"/>
      <c r="AP93" s="40"/>
      <c r="AQ93" s="33">
        <f t="shared" si="4"/>
        <v>0</v>
      </c>
      <c r="AR93" s="34">
        <f t="shared" si="44"/>
        <v>50.5</v>
      </c>
      <c r="AS93" s="370">
        <f t="shared" si="45"/>
        <v>0</v>
      </c>
      <c r="AT93" s="355">
        <v>34.483333333333334</v>
      </c>
      <c r="AU93" s="356">
        <f t="shared" si="46"/>
        <v>19.333333333333332</v>
      </c>
      <c r="AV93" s="357">
        <f t="shared" si="47"/>
        <v>0</v>
      </c>
      <c r="AW93" s="358">
        <f t="shared" si="48"/>
        <v>0</v>
      </c>
      <c r="AX93" s="356">
        <f t="shared" si="58"/>
        <v>15.150000000000002</v>
      </c>
      <c r="AY93" s="359">
        <f t="shared" si="59"/>
        <v>0.56065732237796029</v>
      </c>
      <c r="AZ93" s="360">
        <f t="shared" si="60"/>
        <v>0.43934267762203966</v>
      </c>
      <c r="BA93" s="287">
        <v>2025371</v>
      </c>
      <c r="BB93" s="287">
        <f t="shared" si="52"/>
        <v>40106.356435643567</v>
      </c>
    </row>
    <row r="94" spans="1:54" ht="15.75" thickBot="1" x14ac:dyDescent="0.3">
      <c r="A94" s="17" t="s">
        <v>271</v>
      </c>
      <c r="B94" s="17" t="s">
        <v>272</v>
      </c>
      <c r="C94" s="18" t="s">
        <v>55</v>
      </c>
      <c r="D94" s="18"/>
      <c r="E94" s="18"/>
      <c r="F94" s="18"/>
      <c r="G94" s="19" t="s">
        <v>57</v>
      </c>
      <c r="H94" s="19" t="s">
        <v>57</v>
      </c>
      <c r="I94" s="20"/>
      <c r="J94" s="20"/>
      <c r="K94" s="19"/>
      <c r="L94" s="21">
        <v>46.95</v>
      </c>
      <c r="M94" s="22">
        <v>12</v>
      </c>
      <c r="N94" s="22"/>
      <c r="O94" s="22"/>
      <c r="P94" s="22"/>
      <c r="Q94" s="22"/>
      <c r="R94" s="23">
        <f t="shared" si="40"/>
        <v>1</v>
      </c>
      <c r="S94" s="24">
        <f t="shared" si="1"/>
        <v>13</v>
      </c>
      <c r="T94" s="25">
        <f>IF($C94="",0,VLOOKUP($C94,'[1]Hoja 1'!$C$11:$D$27,2,FALSE)*M94)+IF($D94="",0,VLOOKUP($D94,'[1]Hoja 1'!$C$11:$D$27,2,FALSE)*N94)+IF($F94="",0,VLOOKUP($F94,'[1]Hoja 1'!$C$11:$D$27,2,FALSE)*P94)+IF(R94="",0,R94*0.5)</f>
        <v>7.6999999999999993</v>
      </c>
      <c r="U94" s="22">
        <f t="shared" ref="U94:U100" si="62">IF(G94="x",4,"")</f>
        <v>4</v>
      </c>
      <c r="V94" s="22">
        <v>4</v>
      </c>
      <c r="W94" s="26">
        <v>2.25</v>
      </c>
      <c r="X94" s="22"/>
      <c r="Y94" s="22"/>
      <c r="Z94" s="22"/>
      <c r="AA94" s="22"/>
      <c r="AB94" s="22">
        <v>2</v>
      </c>
      <c r="AC94" s="22"/>
      <c r="AD94" s="36">
        <v>5</v>
      </c>
      <c r="AE94" s="22"/>
      <c r="AF94" s="22"/>
      <c r="AG94" s="27"/>
      <c r="AH94" s="28">
        <f t="shared" si="42"/>
        <v>24.95</v>
      </c>
      <c r="AI94" s="38"/>
      <c r="AJ94" s="22">
        <v>9</v>
      </c>
      <c r="AK94" s="22"/>
      <c r="AL94" s="22"/>
      <c r="AM94" s="42"/>
      <c r="AN94" s="30">
        <f t="shared" si="36"/>
        <v>9</v>
      </c>
      <c r="AO94" s="39"/>
      <c r="AP94" s="40"/>
      <c r="AQ94" s="33">
        <f t="shared" si="4"/>
        <v>0</v>
      </c>
      <c r="AR94" s="34">
        <f t="shared" si="44"/>
        <v>46.95</v>
      </c>
      <c r="AS94" s="370">
        <f t="shared" si="45"/>
        <v>0</v>
      </c>
      <c r="AT94" s="355">
        <v>35.25</v>
      </c>
      <c r="AU94" s="356">
        <f t="shared" si="46"/>
        <v>10</v>
      </c>
      <c r="AV94" s="357">
        <f t="shared" si="47"/>
        <v>6</v>
      </c>
      <c r="AW94" s="358">
        <f t="shared" si="48"/>
        <v>0</v>
      </c>
      <c r="AX94" s="356">
        <f t="shared" si="58"/>
        <v>19.25</v>
      </c>
      <c r="AY94" s="359">
        <f t="shared" si="59"/>
        <v>0.34188034188034189</v>
      </c>
      <c r="AZ94" s="360">
        <f t="shared" si="60"/>
        <v>0.65811965811965811</v>
      </c>
      <c r="BA94" s="287">
        <v>1874470</v>
      </c>
      <c r="BB94" s="287">
        <f t="shared" si="52"/>
        <v>39924.813631522891</v>
      </c>
    </row>
    <row r="95" spans="1:54" ht="15.75" thickBot="1" x14ac:dyDescent="0.3">
      <c r="A95" s="17" t="s">
        <v>273</v>
      </c>
      <c r="B95" s="17" t="s">
        <v>274</v>
      </c>
      <c r="C95" s="18" t="s">
        <v>80</v>
      </c>
      <c r="D95" s="18"/>
      <c r="E95" s="18"/>
      <c r="F95" s="18"/>
      <c r="G95" s="19"/>
      <c r="H95" s="19"/>
      <c r="I95" s="20"/>
      <c r="J95" s="20"/>
      <c r="K95" s="19"/>
      <c r="L95" s="21">
        <v>49.63</v>
      </c>
      <c r="M95" s="22">
        <v>35.75</v>
      </c>
      <c r="N95" s="22"/>
      <c r="O95" s="22"/>
      <c r="P95" s="22"/>
      <c r="Q95" s="22"/>
      <c r="R95" s="23" t="str">
        <f t="shared" si="40"/>
        <v/>
      </c>
      <c r="S95" s="24">
        <f t="shared" si="1"/>
        <v>35.75</v>
      </c>
      <c r="T95" s="25">
        <v>11.625</v>
      </c>
      <c r="U95" s="22" t="str">
        <f t="shared" si="62"/>
        <v/>
      </c>
      <c r="V95" s="22"/>
      <c r="W95" s="26">
        <v>2.25</v>
      </c>
      <c r="X95" s="22"/>
      <c r="Y95" s="22"/>
      <c r="Z95" s="22"/>
      <c r="AA95" s="22"/>
      <c r="AB95" s="22"/>
      <c r="AC95" s="22"/>
      <c r="AD95" s="36"/>
      <c r="AE95" s="22"/>
      <c r="AF95" s="22"/>
      <c r="AG95" s="27"/>
      <c r="AH95" s="28">
        <f t="shared" si="42"/>
        <v>13.875</v>
      </c>
      <c r="AI95" s="38"/>
      <c r="AJ95" s="22"/>
      <c r="AK95" s="22"/>
      <c r="AL95" s="22"/>
      <c r="AM95" s="42"/>
      <c r="AN95" s="30">
        <f t="shared" si="36"/>
        <v>0</v>
      </c>
      <c r="AO95" s="39"/>
      <c r="AP95" s="40"/>
      <c r="AQ95" s="33">
        <f t="shared" si="4"/>
        <v>0</v>
      </c>
      <c r="AR95" s="34">
        <f t="shared" si="44"/>
        <v>49.625</v>
      </c>
      <c r="AS95" s="370">
        <f t="shared" si="45"/>
        <v>5.000000000002558E-3</v>
      </c>
      <c r="AT95" s="355">
        <v>33.594999999999999</v>
      </c>
      <c r="AU95" s="356">
        <f t="shared" si="46"/>
        <v>23.833333333333332</v>
      </c>
      <c r="AV95" s="376">
        <f t="shared" si="47"/>
        <v>0</v>
      </c>
      <c r="AW95" s="358">
        <f t="shared" si="48"/>
        <v>0</v>
      </c>
      <c r="AX95" s="356">
        <f t="shared" si="58"/>
        <v>9.7616666666666667</v>
      </c>
      <c r="AY95" s="359">
        <f t="shared" si="59"/>
        <v>0.70943096690975838</v>
      </c>
      <c r="AZ95" s="360">
        <f t="shared" si="60"/>
        <v>0.29056903309024162</v>
      </c>
      <c r="BA95" s="287">
        <v>1271769</v>
      </c>
      <c r="BB95" s="287">
        <f t="shared" si="52"/>
        <v>25625.005037275841</v>
      </c>
    </row>
    <row r="96" spans="1:54" ht="15.75" thickBot="1" x14ac:dyDescent="0.3">
      <c r="A96" s="17" t="s">
        <v>275</v>
      </c>
      <c r="B96" s="17" t="s">
        <v>276</v>
      </c>
      <c r="C96" s="18" t="s">
        <v>109</v>
      </c>
      <c r="D96" s="18"/>
      <c r="E96" s="18"/>
      <c r="F96" s="18"/>
      <c r="G96" s="19"/>
      <c r="H96" s="19"/>
      <c r="I96" s="20"/>
      <c r="J96" s="20"/>
      <c r="K96" s="19"/>
      <c r="L96" s="21">
        <v>9</v>
      </c>
      <c r="M96" s="22">
        <v>6</v>
      </c>
      <c r="N96" s="22"/>
      <c r="O96" s="22"/>
      <c r="P96" s="22"/>
      <c r="Q96" s="22"/>
      <c r="R96" s="23" t="str">
        <f t="shared" si="40"/>
        <v/>
      </c>
      <c r="S96" s="24">
        <f t="shared" si="1"/>
        <v>6</v>
      </c>
      <c r="T96" s="25">
        <f>IF($C96="",0,VLOOKUP($C96,'[1]Hoja 1'!$C$11:$D$27,2,FALSE)*M96)+IF($D96="",0,VLOOKUP($D96,'[1]Hoja 1'!$C$11:$D$27,2,FALSE)*N96)+IF($F96="",0,VLOOKUP($F96,'[1]Hoja 1'!$C$11:$D$27,2,FALSE)*P96)+IF(R96="",0,R96*0.5)</f>
        <v>3</v>
      </c>
      <c r="U96" s="22" t="str">
        <f t="shared" si="62"/>
        <v/>
      </c>
      <c r="V96" s="22"/>
      <c r="W96" s="26">
        <v>0</v>
      </c>
      <c r="X96" s="22"/>
      <c r="Y96" s="22"/>
      <c r="Z96" s="22"/>
      <c r="AA96" s="22"/>
      <c r="AB96" s="22"/>
      <c r="AC96" s="22"/>
      <c r="AD96" s="36"/>
      <c r="AE96" s="22"/>
      <c r="AF96" s="22"/>
      <c r="AG96" s="27"/>
      <c r="AH96" s="28">
        <f t="shared" si="42"/>
        <v>3</v>
      </c>
      <c r="AI96" s="38"/>
      <c r="AJ96" s="22"/>
      <c r="AK96" s="22"/>
      <c r="AL96" s="22"/>
      <c r="AM96" s="42"/>
      <c r="AN96" s="30">
        <f t="shared" si="36"/>
        <v>0</v>
      </c>
      <c r="AO96" s="39"/>
      <c r="AP96" s="40"/>
      <c r="AQ96" s="33">
        <f t="shared" si="4"/>
        <v>0</v>
      </c>
      <c r="AR96" s="34">
        <f t="shared" si="44"/>
        <v>9</v>
      </c>
      <c r="AS96" s="370">
        <f t="shared" si="45"/>
        <v>0</v>
      </c>
      <c r="AT96" s="361">
        <v>0</v>
      </c>
      <c r="AU96" s="356">
        <f t="shared" si="46"/>
        <v>4</v>
      </c>
      <c r="AV96" s="357">
        <f t="shared" si="47"/>
        <v>0</v>
      </c>
      <c r="AW96" s="358">
        <f t="shared" si="48"/>
        <v>0</v>
      </c>
      <c r="AX96" s="356">
        <f>+AT96-AU96-AV96-AW96</f>
        <v>-4</v>
      </c>
      <c r="AY96" s="378"/>
      <c r="AZ96" s="379"/>
      <c r="BA96" s="287">
        <v>384283</v>
      </c>
      <c r="BB96" s="287">
        <f t="shared" si="52"/>
        <v>42698.111111111109</v>
      </c>
    </row>
    <row r="97" spans="1:54" ht="15.75" thickBot="1" x14ac:dyDescent="0.3">
      <c r="A97" s="17" t="s">
        <v>277</v>
      </c>
      <c r="B97" s="17" t="s">
        <v>278</v>
      </c>
      <c r="C97" s="18" t="s">
        <v>55</v>
      </c>
      <c r="D97" s="18"/>
      <c r="E97" s="18"/>
      <c r="F97" s="18"/>
      <c r="G97" s="19"/>
      <c r="H97" s="19" t="s">
        <v>57</v>
      </c>
      <c r="I97" s="20"/>
      <c r="J97" s="20"/>
      <c r="K97" s="19"/>
      <c r="L97" s="21">
        <v>42.8</v>
      </c>
      <c r="M97" s="22">
        <v>18</v>
      </c>
      <c r="N97" s="22"/>
      <c r="O97" s="22"/>
      <c r="P97" s="22"/>
      <c r="Q97" s="22"/>
      <c r="R97" s="23" t="str">
        <f t="shared" si="40"/>
        <v/>
      </c>
      <c r="S97" s="24">
        <f t="shared" si="1"/>
        <v>18</v>
      </c>
      <c r="T97" s="25">
        <f>IF($C97="",0,VLOOKUP($C97,'[1]Hoja 1'!$C$11:$D$27,2,FALSE)*M97)+IF($D97="",0,VLOOKUP($D97,'[1]Hoja 1'!$C$11:$D$27,2,FALSE)*N97)+IF($F97="",0,VLOOKUP($F97,'[1]Hoja 1'!$C$11:$D$27,2,FALSE)*P97)+IF(R97="",0,R97*0.5)</f>
        <v>10.799999999999999</v>
      </c>
      <c r="U97" s="22" t="str">
        <f t="shared" si="62"/>
        <v/>
      </c>
      <c r="V97" s="22"/>
      <c r="W97" s="26">
        <v>0</v>
      </c>
      <c r="X97" s="22"/>
      <c r="Y97" s="22"/>
      <c r="Z97" s="22"/>
      <c r="AA97" s="22"/>
      <c r="AB97" s="22"/>
      <c r="AC97" s="22"/>
      <c r="AD97" s="36"/>
      <c r="AE97" s="22"/>
      <c r="AF97" s="22"/>
      <c r="AG97" s="27"/>
      <c r="AH97" s="28">
        <f t="shared" si="42"/>
        <v>10.799999999999999</v>
      </c>
      <c r="AI97" s="38"/>
      <c r="AJ97" s="22">
        <v>10</v>
      </c>
      <c r="AK97" s="22"/>
      <c r="AL97" s="22"/>
      <c r="AM97" s="42"/>
      <c r="AN97" s="30">
        <f t="shared" si="36"/>
        <v>10</v>
      </c>
      <c r="AO97" s="39">
        <v>4</v>
      </c>
      <c r="AP97" s="40" t="s">
        <v>279</v>
      </c>
      <c r="AQ97" s="33">
        <f t="shared" si="4"/>
        <v>4</v>
      </c>
      <c r="AR97" s="34">
        <f t="shared" si="44"/>
        <v>42.8</v>
      </c>
      <c r="AS97" s="370">
        <f t="shared" si="45"/>
        <v>0</v>
      </c>
      <c r="AT97" s="355">
        <v>33.299999999999997</v>
      </c>
      <c r="AU97" s="356">
        <f t="shared" si="46"/>
        <v>12</v>
      </c>
      <c r="AV97" s="357">
        <f t="shared" si="47"/>
        <v>6.666666666666667</v>
      </c>
      <c r="AW97" s="358">
        <f t="shared" si="48"/>
        <v>2.6666666666666679</v>
      </c>
      <c r="AX97" s="356">
        <f t="shared" si="58"/>
        <v>11.966666666666661</v>
      </c>
      <c r="AY97" s="359">
        <f t="shared" ref="AY97:AY100" si="63">+AU97/(AU97+AX97)</f>
        <v>0.50069541029207243</v>
      </c>
      <c r="AZ97" s="360">
        <f t="shared" ref="AZ97:AZ100" si="64">+AX97/(AU97+AX97)</f>
        <v>0.49930458970792757</v>
      </c>
      <c r="BA97" s="287">
        <v>1553358</v>
      </c>
      <c r="BB97" s="287">
        <f t="shared" si="52"/>
        <v>36293.411214953274</v>
      </c>
    </row>
    <row r="98" spans="1:54" ht="15.75" thickBot="1" x14ac:dyDescent="0.3">
      <c r="A98" s="17" t="s">
        <v>280</v>
      </c>
      <c r="B98" s="17" t="s">
        <v>281</v>
      </c>
      <c r="C98" s="18" t="s">
        <v>47</v>
      </c>
      <c r="D98" s="18"/>
      <c r="E98" s="18"/>
      <c r="F98" s="18"/>
      <c r="G98" s="19"/>
      <c r="H98" s="19" t="s">
        <v>57</v>
      </c>
      <c r="I98" s="20" t="s">
        <v>57</v>
      </c>
      <c r="J98" s="45" t="s">
        <v>155</v>
      </c>
      <c r="K98" s="19"/>
      <c r="L98" s="21">
        <v>50.75</v>
      </c>
      <c r="M98" s="22">
        <v>8</v>
      </c>
      <c r="N98" s="22"/>
      <c r="O98" s="22"/>
      <c r="P98" s="22"/>
      <c r="Q98" s="22"/>
      <c r="R98" s="23" t="str">
        <f t="shared" si="40"/>
        <v/>
      </c>
      <c r="S98" s="24">
        <f t="shared" si="1"/>
        <v>8</v>
      </c>
      <c r="T98" s="25">
        <f>IF($C98="",0,VLOOKUP($C98,'[1]Hoja 1'!$C$11:$D$27,2,FALSE)*M98)+IF($D98="",0,VLOOKUP($D98,'[1]Hoja 1'!$C$11:$D$27,2,FALSE)*N98)+IF($F98="",0,VLOOKUP($F98,'[1]Hoja 1'!$C$11:$D$27,2,FALSE)*P98)+IF(R98="",0,R98*0.5)</f>
        <v>4</v>
      </c>
      <c r="U98" s="22" t="str">
        <f t="shared" si="62"/>
        <v/>
      </c>
      <c r="V98" s="22"/>
      <c r="W98" s="26">
        <v>2.25</v>
      </c>
      <c r="X98" s="22"/>
      <c r="Y98" s="22"/>
      <c r="Z98" s="22"/>
      <c r="AA98" s="22"/>
      <c r="AB98" s="22">
        <v>2</v>
      </c>
      <c r="AC98" s="22">
        <v>2</v>
      </c>
      <c r="AD98" s="36"/>
      <c r="AE98" s="22">
        <v>2.5</v>
      </c>
      <c r="AF98" s="22"/>
      <c r="AG98" s="27"/>
      <c r="AH98" s="28">
        <f t="shared" si="42"/>
        <v>12.75</v>
      </c>
      <c r="AI98" s="38">
        <v>20</v>
      </c>
      <c r="AJ98" s="22">
        <v>10</v>
      </c>
      <c r="AK98" s="22"/>
      <c r="AL98" s="22"/>
      <c r="AM98" s="42"/>
      <c r="AN98" s="30">
        <f t="shared" si="36"/>
        <v>30</v>
      </c>
      <c r="AO98" s="39"/>
      <c r="AP98" s="40"/>
      <c r="AQ98" s="33">
        <f t="shared" si="4"/>
        <v>0</v>
      </c>
      <c r="AR98" s="34">
        <f t="shared" si="44"/>
        <v>50.75</v>
      </c>
      <c r="AS98" s="370">
        <f t="shared" si="45"/>
        <v>0</v>
      </c>
      <c r="AT98" s="355">
        <v>35.166666666666664</v>
      </c>
      <c r="AU98" s="356">
        <f t="shared" si="46"/>
        <v>6.666666666666667</v>
      </c>
      <c r="AV98" s="357">
        <f t="shared" si="47"/>
        <v>20</v>
      </c>
      <c r="AW98" s="358">
        <f t="shared" si="48"/>
        <v>0</v>
      </c>
      <c r="AX98" s="356">
        <f t="shared" si="58"/>
        <v>8.4999999999999964</v>
      </c>
      <c r="AY98" s="359">
        <f t="shared" si="63"/>
        <v>0.43956043956043966</v>
      </c>
      <c r="AZ98" s="360">
        <f t="shared" si="64"/>
        <v>0.56043956043956034</v>
      </c>
      <c r="BA98" s="287">
        <v>2277977</v>
      </c>
      <c r="BB98" s="287">
        <f t="shared" si="52"/>
        <v>44886.246305418717</v>
      </c>
    </row>
    <row r="99" spans="1:54" ht="15.75" thickBot="1" x14ac:dyDescent="0.3">
      <c r="A99" s="17" t="s">
        <v>282</v>
      </c>
      <c r="B99" s="17" t="s">
        <v>283</v>
      </c>
      <c r="C99" s="18" t="s">
        <v>55</v>
      </c>
      <c r="D99" s="18"/>
      <c r="E99" s="18"/>
      <c r="F99" s="18"/>
      <c r="G99" s="19" t="s">
        <v>57</v>
      </c>
      <c r="H99" s="19"/>
      <c r="I99" s="20"/>
      <c r="J99" s="20"/>
      <c r="K99" s="19"/>
      <c r="L99" s="21">
        <v>43.95</v>
      </c>
      <c r="M99" s="22">
        <v>12</v>
      </c>
      <c r="N99" s="22"/>
      <c r="O99" s="22"/>
      <c r="P99" s="22"/>
      <c r="Q99" s="22"/>
      <c r="R99" s="23">
        <f t="shared" si="40"/>
        <v>1</v>
      </c>
      <c r="S99" s="24">
        <f t="shared" si="1"/>
        <v>13</v>
      </c>
      <c r="T99" s="25">
        <f>IF($C99="",0,VLOOKUP($C99,'[1]Hoja 1'!$C$11:$D$27,2,FALSE)*M99)+IF($D99="",0,VLOOKUP($D99,'[1]Hoja 1'!$C$11:$D$27,2,FALSE)*N99)+IF($F99="",0,VLOOKUP($F99,'[1]Hoja 1'!$C$11:$D$27,2,FALSE)*P99)+IF(R99="",0,R99*0.5)</f>
        <v>7.6999999999999993</v>
      </c>
      <c r="U99" s="22">
        <f t="shared" si="62"/>
        <v>4</v>
      </c>
      <c r="V99" s="22">
        <v>4</v>
      </c>
      <c r="W99" s="26">
        <v>2.25</v>
      </c>
      <c r="X99" s="22"/>
      <c r="Y99" s="22"/>
      <c r="Z99" s="22"/>
      <c r="AA99" s="22"/>
      <c r="AB99" s="22">
        <v>2</v>
      </c>
      <c r="AC99" s="22"/>
      <c r="AD99" s="36"/>
      <c r="AE99" s="22"/>
      <c r="AF99" s="22"/>
      <c r="AG99" s="27"/>
      <c r="AH99" s="28">
        <f t="shared" si="42"/>
        <v>19.95</v>
      </c>
      <c r="AI99" s="38"/>
      <c r="AJ99" s="22"/>
      <c r="AK99" s="22"/>
      <c r="AL99" s="22"/>
      <c r="AM99" s="42"/>
      <c r="AN99" s="30">
        <f t="shared" si="36"/>
        <v>0</v>
      </c>
      <c r="AO99" s="39">
        <v>11</v>
      </c>
      <c r="AP99" s="40" t="s">
        <v>119</v>
      </c>
      <c r="AQ99" s="33">
        <f t="shared" si="4"/>
        <v>11</v>
      </c>
      <c r="AR99" s="34">
        <f t="shared" si="44"/>
        <v>43.95</v>
      </c>
      <c r="AS99" s="370">
        <f t="shared" si="45"/>
        <v>0</v>
      </c>
      <c r="AT99" s="355">
        <v>33.25</v>
      </c>
      <c r="AU99" s="356">
        <f t="shared" si="46"/>
        <v>10</v>
      </c>
      <c r="AV99" s="357">
        <f t="shared" si="47"/>
        <v>0</v>
      </c>
      <c r="AW99" s="358">
        <f t="shared" si="48"/>
        <v>7.3333333333333366</v>
      </c>
      <c r="AX99" s="356">
        <f t="shared" si="58"/>
        <v>15.916666666666664</v>
      </c>
      <c r="AY99" s="359">
        <f t="shared" si="63"/>
        <v>0.38585209003215437</v>
      </c>
      <c r="AZ99" s="360">
        <f t="shared" si="64"/>
        <v>0.61414790996784563</v>
      </c>
      <c r="BA99" s="287">
        <v>1999906</v>
      </c>
      <c r="BB99" s="287">
        <f t="shared" si="52"/>
        <v>45504.118316268483</v>
      </c>
    </row>
    <row r="100" spans="1:54" ht="15.75" thickBot="1" x14ac:dyDescent="0.3">
      <c r="A100" s="17" t="s">
        <v>284</v>
      </c>
      <c r="B100" s="17" t="s">
        <v>285</v>
      </c>
      <c r="C100" s="18" t="s">
        <v>109</v>
      </c>
      <c r="D100" s="18"/>
      <c r="E100" s="18"/>
      <c r="F100" s="18"/>
      <c r="G100" s="19"/>
      <c r="H100" s="19" t="s">
        <v>57</v>
      </c>
      <c r="I100" s="20"/>
      <c r="J100" s="20"/>
      <c r="K100" s="19"/>
      <c r="L100" s="21">
        <v>36.25</v>
      </c>
      <c r="M100" s="22">
        <v>16</v>
      </c>
      <c r="N100" s="22"/>
      <c r="O100" s="22"/>
      <c r="P100" s="22"/>
      <c r="Q100" s="22"/>
      <c r="R100" s="23" t="str">
        <f t="shared" si="40"/>
        <v/>
      </c>
      <c r="S100" s="24">
        <f t="shared" si="1"/>
        <v>16</v>
      </c>
      <c r="T100" s="25">
        <v>8</v>
      </c>
      <c r="U100" s="22" t="str">
        <f t="shared" si="62"/>
        <v/>
      </c>
      <c r="V100" s="22"/>
      <c r="W100" s="26">
        <v>2.25</v>
      </c>
      <c r="X100" s="22"/>
      <c r="Y100" s="22"/>
      <c r="Z100" s="22"/>
      <c r="AA100" s="22"/>
      <c r="AB100" s="22">
        <v>2</v>
      </c>
      <c r="AC100" s="22"/>
      <c r="AD100" s="36"/>
      <c r="AE100" s="22"/>
      <c r="AF100" s="22"/>
      <c r="AG100" s="27"/>
      <c r="AH100" s="28">
        <f t="shared" si="42"/>
        <v>12.25</v>
      </c>
      <c r="AI100" s="38"/>
      <c r="AJ100" s="22">
        <v>8</v>
      </c>
      <c r="AK100" s="22"/>
      <c r="AL100" s="22"/>
      <c r="AM100" s="42"/>
      <c r="AN100" s="30">
        <f t="shared" si="36"/>
        <v>8</v>
      </c>
      <c r="AO100" s="39"/>
      <c r="AP100" s="40"/>
      <c r="AQ100" s="33">
        <f t="shared" si="4"/>
        <v>0</v>
      </c>
      <c r="AR100" s="34">
        <f t="shared" ref="AR100" si="65">+S100+AH100+AN100+AQ100</f>
        <v>36.25</v>
      </c>
      <c r="AS100" s="370">
        <f t="shared" ref="AS100" si="66">+L100-AR100</f>
        <v>0</v>
      </c>
      <c r="AT100" s="362">
        <v>28.3</v>
      </c>
      <c r="AU100" s="363">
        <f t="shared" si="46"/>
        <v>12</v>
      </c>
      <c r="AV100" s="364">
        <f t="shared" si="47"/>
        <v>5.333333333333333</v>
      </c>
      <c r="AW100" s="365">
        <f t="shared" si="48"/>
        <v>0</v>
      </c>
      <c r="AX100" s="363">
        <f t="shared" si="58"/>
        <v>10.966666666666669</v>
      </c>
      <c r="AY100" s="366">
        <f t="shared" si="63"/>
        <v>0.52249637155297524</v>
      </c>
      <c r="AZ100" s="367">
        <f t="shared" si="64"/>
        <v>0.47750362844702471</v>
      </c>
      <c r="BA100" s="287">
        <v>2143125</v>
      </c>
      <c r="BB100" s="287">
        <f t="shared" si="52"/>
        <v>59120.689655172413</v>
      </c>
    </row>
    <row r="101" spans="1:54" x14ac:dyDescent="0.25">
      <c r="L101" s="287">
        <f>SUM(L4:L100)</f>
        <v>3842.2000000000007</v>
      </c>
      <c r="M101" s="287">
        <f t="shared" ref="M101:AX101" si="67">SUM(M4:M100)</f>
        <v>1521.7300000000002</v>
      </c>
      <c r="N101" s="287">
        <f t="shared" si="67"/>
        <v>33</v>
      </c>
      <c r="O101" s="287">
        <f t="shared" si="67"/>
        <v>6</v>
      </c>
      <c r="P101" s="287">
        <f t="shared" si="67"/>
        <v>0</v>
      </c>
      <c r="Q101" s="287">
        <f t="shared" si="67"/>
        <v>88</v>
      </c>
      <c r="R101" s="287">
        <f t="shared" si="67"/>
        <v>48</v>
      </c>
      <c r="S101" s="287">
        <f t="shared" si="67"/>
        <v>1696.7300000000002</v>
      </c>
      <c r="T101" s="287">
        <f t="shared" si="67"/>
        <v>742.71500000000015</v>
      </c>
      <c r="U101" s="287">
        <f t="shared" si="67"/>
        <v>208</v>
      </c>
      <c r="V101" s="287">
        <f t="shared" si="67"/>
        <v>128</v>
      </c>
      <c r="W101" s="287">
        <f t="shared" si="67"/>
        <v>199</v>
      </c>
      <c r="X101" s="287">
        <f t="shared" si="67"/>
        <v>2</v>
      </c>
      <c r="Y101" s="287">
        <f t="shared" si="67"/>
        <v>13</v>
      </c>
      <c r="Z101" s="287">
        <f t="shared" si="67"/>
        <v>7</v>
      </c>
      <c r="AA101" s="287">
        <f t="shared" si="67"/>
        <v>0</v>
      </c>
      <c r="AB101" s="287">
        <f t="shared" si="67"/>
        <v>100</v>
      </c>
      <c r="AC101" s="287">
        <f t="shared" si="67"/>
        <v>49</v>
      </c>
      <c r="AD101" s="287">
        <f t="shared" si="67"/>
        <v>25.700000000000003</v>
      </c>
      <c r="AE101" s="287">
        <f t="shared" si="67"/>
        <v>20</v>
      </c>
      <c r="AF101" s="287">
        <f t="shared" si="67"/>
        <v>139.5</v>
      </c>
      <c r="AG101" s="287">
        <f t="shared" si="67"/>
        <v>0</v>
      </c>
      <c r="AH101" s="287">
        <f t="shared" si="67"/>
        <v>1633.915</v>
      </c>
      <c r="AI101" s="287">
        <f t="shared" si="67"/>
        <v>182.38</v>
      </c>
      <c r="AJ101" s="287">
        <f t="shared" si="67"/>
        <v>113</v>
      </c>
      <c r="AK101" s="287">
        <f t="shared" si="67"/>
        <v>15</v>
      </c>
      <c r="AL101" s="287">
        <f t="shared" si="67"/>
        <v>56</v>
      </c>
      <c r="AM101" s="287">
        <f t="shared" si="67"/>
        <v>0</v>
      </c>
      <c r="AN101" s="287">
        <f t="shared" si="67"/>
        <v>366.38</v>
      </c>
      <c r="AO101" s="287">
        <f t="shared" si="67"/>
        <v>137.30000000000001</v>
      </c>
      <c r="AP101" s="287">
        <f t="shared" si="67"/>
        <v>0</v>
      </c>
      <c r="AQ101" s="287">
        <f t="shared" si="67"/>
        <v>137.30000000000001</v>
      </c>
      <c r="AR101" s="287">
        <f t="shared" si="67"/>
        <v>3834.3249999999994</v>
      </c>
      <c r="AS101" s="287">
        <f t="shared" si="67"/>
        <v>7.8750000000000462</v>
      </c>
      <c r="AT101" s="287">
        <f t="shared" si="67"/>
        <v>2750.2449999999994</v>
      </c>
      <c r="AU101" s="287">
        <f t="shared" si="67"/>
        <v>1197.8199999999997</v>
      </c>
      <c r="AV101" s="287">
        <f t="shared" si="67"/>
        <v>244.25333333333339</v>
      </c>
      <c r="AW101" s="287">
        <f t="shared" si="67"/>
        <v>91.533333333333402</v>
      </c>
      <c r="AX101" s="287">
        <f t="shared" si="67"/>
        <v>1216.638333333334</v>
      </c>
      <c r="AY101" s="304">
        <f>AVERAGE(AY5:AY100)</f>
        <v>0.48142589988837003</v>
      </c>
      <c r="AZ101" s="304">
        <f>AVERAGE(AZ5:AZ100)</f>
        <v>0.51857410011162985</v>
      </c>
      <c r="BA101" s="287">
        <f>SUM(BA4:BA100)</f>
        <v>154981678</v>
      </c>
      <c r="BB101" s="287">
        <f>AVERAGE(BB4:BB100)</f>
        <v>41196.808899097276</v>
      </c>
    </row>
    <row r="102" spans="1:54" x14ac:dyDescent="0.25">
      <c r="AW102" t="s">
        <v>1196</v>
      </c>
      <c r="AY102" s="338">
        <v>0.45</v>
      </c>
      <c r="AZ102" s="339">
        <v>0.55000000000000004</v>
      </c>
      <c r="BA102" s="287"/>
      <c r="BB102" s="287"/>
    </row>
    <row r="103" spans="1:54" x14ac:dyDescent="0.25">
      <c r="C103" s="418" t="s">
        <v>1201</v>
      </c>
      <c r="AH103" s="287"/>
      <c r="AL103" s="287"/>
      <c r="BA103" s="287"/>
      <c r="BB103" s="287"/>
    </row>
  </sheetData>
  <autoFilter ref="A3:AZ102"/>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14:formula1>
            <xm:f>'C:\Users\Constanza Nieto\Documents\Seduc\MODELO HNL y Asigna\2025\Distribución Horas\Recibido\[Distribución de Horas CLA 2025 (1) (2).xlsx]Hoja 1'!#REF!</xm:f>
          </x14:formula1>
          <xm:sqref>J4:K100 C4:F100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03"/>
  <sheetViews>
    <sheetView zoomScale="80" zoomScaleNormal="80" workbookViewId="0">
      <pane xSplit="3" ySplit="3" topLeftCell="T84" activePane="bottomRight" state="frozen"/>
      <selection pane="topRight" activeCell="D1" sqref="D1"/>
      <selection pane="bottomLeft" activeCell="A4" sqref="A4"/>
      <selection pane="bottomRight" activeCell="BB104" sqref="BB104"/>
    </sheetView>
  </sheetViews>
  <sheetFormatPr baseColWidth="10" defaultRowHeight="15" x14ac:dyDescent="0.25"/>
  <cols>
    <col min="3" max="12" width="6.5703125" customWidth="1"/>
    <col min="13" max="13" width="5.42578125" customWidth="1"/>
    <col min="14" max="15" width="6.5703125" customWidth="1"/>
    <col min="16" max="16" width="5.42578125" customWidth="1"/>
    <col min="17" max="45" width="6.5703125" customWidth="1"/>
    <col min="46" max="46" width="5.28515625" customWidth="1"/>
    <col min="47" max="47" width="6.5703125" customWidth="1"/>
    <col min="48" max="48" width="4" bestFit="1" customWidth="1"/>
    <col min="49" max="49" width="4.28515625" bestFit="1" customWidth="1"/>
    <col min="50" max="50" width="5.28515625" customWidth="1"/>
    <col min="51" max="52" width="5.28515625" style="335" customWidth="1"/>
  </cols>
  <sheetData>
    <row r="1" spans="1:54" ht="21.75" thickBot="1" x14ac:dyDescent="0.4">
      <c r="A1" s="53" t="s">
        <v>287</v>
      </c>
      <c r="B1" s="1"/>
      <c r="C1" s="1"/>
      <c r="D1" s="1"/>
      <c r="E1" s="1"/>
      <c r="F1" s="1"/>
      <c r="G1" s="1"/>
      <c r="H1" s="2"/>
      <c r="I1" s="2"/>
      <c r="J1" s="2"/>
      <c r="K1" s="2"/>
      <c r="L1" s="54"/>
      <c r="M1" s="1"/>
      <c r="N1" s="1"/>
      <c r="O1" s="1"/>
      <c r="P1" s="1"/>
      <c r="Q1" s="55"/>
      <c r="R1" s="56"/>
      <c r="S1" s="4"/>
      <c r="T1" s="1"/>
      <c r="U1" s="3"/>
      <c r="V1" s="1"/>
      <c r="W1" s="57"/>
      <c r="X1" s="1"/>
      <c r="Y1" s="1"/>
      <c r="Z1" s="1"/>
      <c r="AA1" s="1"/>
      <c r="AB1" s="1"/>
      <c r="AC1" s="1"/>
      <c r="AD1" s="1"/>
      <c r="AE1" s="1"/>
      <c r="AF1" s="1"/>
      <c r="AG1" s="58"/>
      <c r="AH1" s="3"/>
      <c r="AI1" s="1"/>
      <c r="AJ1" s="1"/>
      <c r="AK1" s="1"/>
      <c r="AL1" s="1"/>
      <c r="AM1" s="58"/>
      <c r="AN1" s="3"/>
      <c r="AO1" s="1"/>
      <c r="AP1" s="1"/>
      <c r="AQ1" s="57"/>
      <c r="AR1" s="5"/>
      <c r="AS1" s="1"/>
      <c r="AT1" s="35"/>
      <c r="AU1" s="35"/>
      <c r="AV1" s="1"/>
      <c r="AW1" s="1"/>
      <c r="AX1" s="1"/>
      <c r="AY1" s="1"/>
      <c r="AZ1" s="9"/>
    </row>
    <row r="2" spans="1:54" ht="21.75" thickBot="1" x14ac:dyDescent="0.4">
      <c r="A2" s="53"/>
      <c r="B2" s="1"/>
      <c r="C2" s="1"/>
      <c r="D2" s="1"/>
      <c r="E2" s="1"/>
      <c r="F2" s="1"/>
      <c r="G2" s="1"/>
      <c r="H2" s="2"/>
      <c r="I2" s="2"/>
      <c r="J2" s="2"/>
      <c r="K2" s="2"/>
      <c r="L2" s="54"/>
      <c r="M2" s="1"/>
      <c r="N2" s="1"/>
      <c r="O2" s="1"/>
      <c r="P2" s="1"/>
      <c r="Q2" s="55"/>
      <c r="R2" s="56"/>
      <c r="S2" s="4"/>
      <c r="T2" s="1"/>
      <c r="U2" s="3"/>
      <c r="V2" s="1"/>
      <c r="W2" s="57"/>
      <c r="X2" s="1"/>
      <c r="Y2" s="1"/>
      <c r="Z2" s="1"/>
      <c r="AA2" s="1"/>
      <c r="AB2" s="1"/>
      <c r="AC2" s="1"/>
      <c r="AD2" s="1"/>
      <c r="AE2" s="1"/>
      <c r="AF2" s="1"/>
      <c r="AG2" s="58"/>
      <c r="AH2" s="3"/>
      <c r="AI2" s="1"/>
      <c r="AJ2" s="1"/>
      <c r="AK2" s="1"/>
      <c r="AL2" s="1"/>
      <c r="AM2" s="58"/>
      <c r="AN2" s="3"/>
      <c r="AO2" s="1"/>
      <c r="AP2" s="1"/>
      <c r="AQ2" s="57"/>
      <c r="AR2" s="5"/>
      <c r="AS2" s="1"/>
      <c r="AT2" s="345" t="s">
        <v>1187</v>
      </c>
      <c r="AU2" s="346"/>
      <c r="AV2" s="347"/>
      <c r="AW2" s="347"/>
      <c r="AX2" s="347"/>
      <c r="AY2" s="347"/>
      <c r="AZ2" s="348"/>
    </row>
    <row r="3" spans="1:54" ht="114.6" customHeight="1" thickBot="1" x14ac:dyDescent="0.3">
      <c r="A3" s="3" t="s">
        <v>1</v>
      </c>
      <c r="B3" s="3" t="s">
        <v>2</v>
      </c>
      <c r="C3" s="10" t="s">
        <v>3</v>
      </c>
      <c r="D3" s="11" t="s">
        <v>4</v>
      </c>
      <c r="E3" s="11" t="s">
        <v>5</v>
      </c>
      <c r="F3" s="11" t="s">
        <v>6</v>
      </c>
      <c r="G3" s="11" t="s">
        <v>7</v>
      </c>
      <c r="H3" s="11" t="s">
        <v>8</v>
      </c>
      <c r="I3" s="11" t="s">
        <v>9</v>
      </c>
      <c r="J3" s="11" t="s">
        <v>10</v>
      </c>
      <c r="K3" s="12" t="s">
        <v>11</v>
      </c>
      <c r="L3" s="253" t="s">
        <v>0</v>
      </c>
      <c r="M3" s="10" t="s">
        <v>1082</v>
      </c>
      <c r="N3" s="13" t="s">
        <v>1083</v>
      </c>
      <c r="O3" s="13" t="s">
        <v>1084</v>
      </c>
      <c r="P3" s="13" t="s">
        <v>1085</v>
      </c>
      <c r="Q3" s="11" t="s">
        <v>1086</v>
      </c>
      <c r="R3" s="14" t="s">
        <v>12</v>
      </c>
      <c r="S3" s="15" t="s">
        <v>13</v>
      </c>
      <c r="T3" s="240" t="s">
        <v>14</v>
      </c>
      <c r="U3" s="241" t="s">
        <v>15</v>
      </c>
      <c r="V3" s="242" t="s">
        <v>16</v>
      </c>
      <c r="W3" s="243" t="s">
        <v>17</v>
      </c>
      <c r="X3" s="242" t="s">
        <v>18</v>
      </c>
      <c r="Y3" s="242" t="s">
        <v>19</v>
      </c>
      <c r="Z3" s="241" t="s">
        <v>20</v>
      </c>
      <c r="AA3" s="241" t="s">
        <v>21</v>
      </c>
      <c r="AB3" s="244" t="s">
        <v>22</v>
      </c>
      <c r="AC3" s="245" t="s">
        <v>23</v>
      </c>
      <c r="AD3" s="241" t="s">
        <v>24</v>
      </c>
      <c r="AE3" s="242" t="s">
        <v>25</v>
      </c>
      <c r="AF3" s="241" t="s">
        <v>26</v>
      </c>
      <c r="AG3" s="242" t="s">
        <v>27</v>
      </c>
      <c r="AH3" s="246" t="s">
        <v>28</v>
      </c>
      <c r="AI3" s="240" t="s">
        <v>29</v>
      </c>
      <c r="AJ3" s="241" t="s">
        <v>30</v>
      </c>
      <c r="AK3" s="247" t="s">
        <v>31</v>
      </c>
      <c r="AL3" s="241" t="s">
        <v>32</v>
      </c>
      <c r="AM3" s="242" t="s">
        <v>33</v>
      </c>
      <c r="AN3" s="248" t="s">
        <v>34</v>
      </c>
      <c r="AO3" s="249" t="s">
        <v>35</v>
      </c>
      <c r="AP3" s="250" t="s">
        <v>36</v>
      </c>
      <c r="AQ3" s="251" t="s">
        <v>37</v>
      </c>
      <c r="AR3" s="252" t="s">
        <v>38</v>
      </c>
      <c r="AS3" s="342" t="s">
        <v>39</v>
      </c>
      <c r="AT3" s="349" t="s">
        <v>40</v>
      </c>
      <c r="AU3" s="350" t="s">
        <v>41</v>
      </c>
      <c r="AV3" s="351" t="s">
        <v>42</v>
      </c>
      <c r="AW3" s="351" t="s">
        <v>43</v>
      </c>
      <c r="AX3" s="352" t="s">
        <v>44</v>
      </c>
      <c r="AY3" s="353" t="s">
        <v>1087</v>
      </c>
      <c r="AZ3" s="354" t="s">
        <v>1088</v>
      </c>
      <c r="BA3" s="16" t="s">
        <v>1191</v>
      </c>
      <c r="BB3" s="16" t="s">
        <v>1192</v>
      </c>
    </row>
    <row r="4" spans="1:54" ht="15.75" thickBot="1" x14ac:dyDescent="0.3">
      <c r="A4" s="17" t="s">
        <v>288</v>
      </c>
      <c r="B4" s="17" t="s">
        <v>289</v>
      </c>
      <c r="C4" s="18" t="s">
        <v>180</v>
      </c>
      <c r="D4" s="18"/>
      <c r="E4" s="18"/>
      <c r="F4" s="18"/>
      <c r="G4" s="19" t="s">
        <v>57</v>
      </c>
      <c r="H4" s="19" t="s">
        <v>57</v>
      </c>
      <c r="I4" s="19"/>
      <c r="J4" s="19"/>
      <c r="K4" s="19" t="s">
        <v>290</v>
      </c>
      <c r="L4" s="59">
        <v>54</v>
      </c>
      <c r="M4" s="22">
        <v>18</v>
      </c>
      <c r="N4" s="22"/>
      <c r="O4" s="22"/>
      <c r="P4" s="22"/>
      <c r="Q4" s="22"/>
      <c r="R4" s="23">
        <f>IF(G4="x",1,"")</f>
        <v>1</v>
      </c>
      <c r="S4" s="24">
        <f t="shared" ref="S4:S102" si="0">SUM(M4:R4)</f>
        <v>19</v>
      </c>
      <c r="T4" s="25">
        <f>IF($C4="",0,VLOOKUP($C4,[2]Hoja1!$C$11:$D$27,2,FALSE)*M4)+IF($D4="",0,VLOOKUP($D4,[2]Hoja1!$C$11:$D$27,2,FALSE)*N4)+IF($F4="",0,VLOOKUP($F4,[2]Hoja1!$C$11:$D$27,2,FALSE)*P4)+IF(R4="",0,R4*0.5)</f>
        <v>5.8999999999999995</v>
      </c>
      <c r="U4" s="22">
        <f>IF(G4="x",4,"")</f>
        <v>4</v>
      </c>
      <c r="V4" s="22">
        <v>4</v>
      </c>
      <c r="W4" s="26">
        <v>1.5</v>
      </c>
      <c r="X4" s="22"/>
      <c r="Y4" s="22">
        <v>8</v>
      </c>
      <c r="Z4" s="22"/>
      <c r="AA4" s="22" t="s">
        <v>291</v>
      </c>
      <c r="AB4" s="22">
        <v>3</v>
      </c>
      <c r="AC4" s="22">
        <v>1</v>
      </c>
      <c r="AD4" s="22">
        <v>0.5</v>
      </c>
      <c r="AE4" s="22"/>
      <c r="AF4" s="22">
        <v>3</v>
      </c>
      <c r="AG4" s="29" t="s">
        <v>292</v>
      </c>
      <c r="AH4" s="28">
        <f t="shared" ref="AH4:AH37" si="1">SUM(T4:AF4)</f>
        <v>30.9</v>
      </c>
      <c r="AI4" s="22"/>
      <c r="AJ4" s="22">
        <v>5</v>
      </c>
      <c r="AK4" s="22"/>
      <c r="AL4" s="22"/>
      <c r="AM4" s="22"/>
      <c r="AN4" s="30">
        <f t="shared" ref="AN4:AN102" si="2">SUM(AI4:AL4)</f>
        <v>5</v>
      </c>
      <c r="AO4" s="31"/>
      <c r="AP4" s="31"/>
      <c r="AQ4" s="33">
        <f t="shared" ref="AQ4:AQ102" si="3">SUM(AO4)</f>
        <v>0</v>
      </c>
      <c r="AR4" s="60">
        <f t="shared" ref="AR4:AR35" si="4">+S4+AH4+AN4+AQ4</f>
        <v>54.9</v>
      </c>
      <c r="AS4" s="343">
        <f t="shared" ref="AS4:AS35" si="5">+L4-AR4</f>
        <v>-0.89999999999999858</v>
      </c>
      <c r="AT4" s="355">
        <v>37.233333333333334</v>
      </c>
      <c r="AU4" s="356">
        <f t="shared" ref="AU4:AU35" si="6">+(S4+AB4)*40/60</f>
        <v>14.666666666666666</v>
      </c>
      <c r="AV4" s="357">
        <f t="shared" ref="AV4:AV35" si="7">+AN4*40/60</f>
        <v>3.3333333333333335</v>
      </c>
      <c r="AW4" s="358">
        <f t="shared" ref="AW4:AW35" si="8">+AQ4*0.666666666666667</f>
        <v>0</v>
      </c>
      <c r="AX4" s="356">
        <f t="shared" ref="AX4:AX67" si="9">+AT4-AU4-AV4-AW4</f>
        <v>19.233333333333338</v>
      </c>
      <c r="AY4" s="359">
        <f>+AU4/(AU4+AX4)</f>
        <v>0.43264503441494584</v>
      </c>
      <c r="AZ4" s="360">
        <f t="shared" ref="AZ4:AZ67" si="10">+AX4/(AU4+AX4)</f>
        <v>0.56735496558505416</v>
      </c>
      <c r="BA4" s="287">
        <v>3122801</v>
      </c>
      <c r="BB4" s="287">
        <f>+BA4/L4</f>
        <v>57829.648148148146</v>
      </c>
    </row>
    <row r="5" spans="1:54" ht="15.75" thickBot="1" x14ac:dyDescent="0.3">
      <c r="A5" s="17" t="s">
        <v>293</v>
      </c>
      <c r="B5" s="17" t="s">
        <v>294</v>
      </c>
      <c r="C5" s="61" t="s">
        <v>295</v>
      </c>
      <c r="D5" s="62"/>
      <c r="E5" s="62"/>
      <c r="F5" s="62"/>
      <c r="G5" s="63" t="s">
        <v>57</v>
      </c>
      <c r="H5" s="63"/>
      <c r="I5" s="64"/>
      <c r="J5" s="64"/>
      <c r="K5" s="64" t="s">
        <v>296</v>
      </c>
      <c r="L5" s="65">
        <v>54</v>
      </c>
      <c r="M5" s="66">
        <v>11</v>
      </c>
      <c r="N5" s="67"/>
      <c r="O5" s="67"/>
      <c r="P5" s="67">
        <v>8</v>
      </c>
      <c r="Q5" s="67"/>
      <c r="R5" s="67">
        <v>1</v>
      </c>
      <c r="S5" s="24">
        <f t="shared" si="0"/>
        <v>20</v>
      </c>
      <c r="T5" s="25">
        <f>IF($C5="",0,VLOOKUP($C5,[2]Hoja1!$C$11:$D$27,2,FALSE)*M5)+IF($D5="",0,VLOOKUP($D5,[2]Hoja1!$C$11:$D$27,2,FALSE)*N5)+IF($F5="",0,VLOOKUP($F5,[2]Hoja1!$C$11:$D$27,2,FALSE)*P5)+IF(R5="",0,R5*0.5)</f>
        <v>6</v>
      </c>
      <c r="U5" s="22">
        <f>IF(G5="x",4,"")</f>
        <v>4</v>
      </c>
      <c r="V5" s="67">
        <v>4</v>
      </c>
      <c r="W5" s="68">
        <v>1.5</v>
      </c>
      <c r="X5" s="67"/>
      <c r="Y5" s="67"/>
      <c r="Z5" s="67">
        <v>2</v>
      </c>
      <c r="AA5" s="67"/>
      <c r="AB5" s="67">
        <v>3</v>
      </c>
      <c r="AC5" s="67">
        <v>1</v>
      </c>
      <c r="AD5" s="67">
        <v>0.5</v>
      </c>
      <c r="AE5" s="67"/>
      <c r="AF5" s="67">
        <v>1</v>
      </c>
      <c r="AG5" s="69" t="s">
        <v>297</v>
      </c>
      <c r="AH5" s="28">
        <f t="shared" si="1"/>
        <v>23</v>
      </c>
      <c r="AI5" s="66"/>
      <c r="AJ5" s="67"/>
      <c r="AK5" s="67"/>
      <c r="AL5" s="67">
        <v>2</v>
      </c>
      <c r="AM5" s="67" t="s">
        <v>49</v>
      </c>
      <c r="AN5" s="30">
        <f t="shared" si="2"/>
        <v>2</v>
      </c>
      <c r="AO5" s="70"/>
      <c r="AP5" s="70"/>
      <c r="AQ5" s="33">
        <f t="shared" si="3"/>
        <v>0</v>
      </c>
      <c r="AR5" s="60">
        <f t="shared" si="4"/>
        <v>45</v>
      </c>
      <c r="AS5" s="343">
        <f t="shared" si="5"/>
        <v>9</v>
      </c>
      <c r="AT5" s="355">
        <v>40.31666666666667</v>
      </c>
      <c r="AU5" s="356">
        <f t="shared" si="6"/>
        <v>15.333333333333334</v>
      </c>
      <c r="AV5" s="357">
        <f t="shared" si="7"/>
        <v>1.3333333333333333</v>
      </c>
      <c r="AW5" s="358">
        <f t="shared" si="8"/>
        <v>0</v>
      </c>
      <c r="AX5" s="356">
        <f t="shared" si="9"/>
        <v>23.650000000000002</v>
      </c>
      <c r="AY5" s="359">
        <f t="shared" ref="AY5:AY68" si="11">+AU5/(AU5+AX5)</f>
        <v>0.39333048311244123</v>
      </c>
      <c r="AZ5" s="360">
        <f t="shared" si="10"/>
        <v>0.60666951688755888</v>
      </c>
      <c r="BA5" s="287">
        <v>1851506</v>
      </c>
      <c r="BB5" s="287">
        <f>+BA5/L5</f>
        <v>34287.148148148146</v>
      </c>
    </row>
    <row r="6" spans="1:54" ht="15.75" thickBot="1" x14ac:dyDescent="0.3">
      <c r="A6" s="17" t="s">
        <v>298</v>
      </c>
      <c r="B6" s="17" t="s">
        <v>299</v>
      </c>
      <c r="C6" s="61" t="s">
        <v>295</v>
      </c>
      <c r="D6" s="63" t="s">
        <v>56</v>
      </c>
      <c r="E6" s="63"/>
      <c r="F6" s="62"/>
      <c r="G6" s="63" t="s">
        <v>57</v>
      </c>
      <c r="H6" s="63"/>
      <c r="I6" s="64"/>
      <c r="J6" s="64"/>
      <c r="K6" s="64" t="s">
        <v>296</v>
      </c>
      <c r="L6" s="65">
        <v>54</v>
      </c>
      <c r="M6" s="66">
        <v>7</v>
      </c>
      <c r="N6" s="67">
        <v>1</v>
      </c>
      <c r="O6" s="67"/>
      <c r="P6" s="67">
        <v>10</v>
      </c>
      <c r="Q6" s="67"/>
      <c r="R6" s="67">
        <v>1</v>
      </c>
      <c r="S6" s="24">
        <f t="shared" si="0"/>
        <v>19</v>
      </c>
      <c r="T6" s="25">
        <f>IF($C6="",0,VLOOKUP($C6,[2]Hoja1!$C$11:$D$27,2,FALSE)*M6)+IF($D6="",0,VLOOKUP($D6,[2]Hoja1!$C$11:$D$27,2,FALSE)*N6)+IF($F6="",0,VLOOKUP($F6,[2]Hoja1!$C$11:$D$27,2,FALSE)*P6)+IF(R6="",0,R6*0.5)</f>
        <v>4.5</v>
      </c>
      <c r="U6" s="22">
        <f>IF(G6="x",4,"")</f>
        <v>4</v>
      </c>
      <c r="V6" s="67">
        <v>4</v>
      </c>
      <c r="W6" s="68">
        <v>1.5</v>
      </c>
      <c r="X6" s="67"/>
      <c r="Y6" s="67"/>
      <c r="Z6" s="67">
        <v>2</v>
      </c>
      <c r="AA6" s="67"/>
      <c r="AB6" s="67">
        <v>2</v>
      </c>
      <c r="AC6" s="67">
        <v>1</v>
      </c>
      <c r="AD6" s="67">
        <v>0.5</v>
      </c>
      <c r="AE6" s="67"/>
      <c r="AF6" s="67">
        <v>1</v>
      </c>
      <c r="AG6" s="69" t="s">
        <v>297</v>
      </c>
      <c r="AH6" s="28">
        <f t="shared" si="1"/>
        <v>20.5</v>
      </c>
      <c r="AI6" s="66"/>
      <c r="AJ6" s="67"/>
      <c r="AK6" s="67"/>
      <c r="AL6" s="67">
        <v>2</v>
      </c>
      <c r="AM6" s="67" t="s">
        <v>49</v>
      </c>
      <c r="AN6" s="30">
        <f t="shared" si="2"/>
        <v>2</v>
      </c>
      <c r="AO6" s="70"/>
      <c r="AP6" s="70"/>
      <c r="AQ6" s="33">
        <f t="shared" si="3"/>
        <v>0</v>
      </c>
      <c r="AR6" s="60">
        <f t="shared" si="4"/>
        <v>41.5</v>
      </c>
      <c r="AS6" s="343">
        <f t="shared" si="5"/>
        <v>12.5</v>
      </c>
      <c r="AT6" s="355">
        <v>40.31666666666667</v>
      </c>
      <c r="AU6" s="356">
        <f t="shared" si="6"/>
        <v>14</v>
      </c>
      <c r="AV6" s="357">
        <f t="shared" si="7"/>
        <v>1.3333333333333333</v>
      </c>
      <c r="AW6" s="358">
        <f t="shared" si="8"/>
        <v>0</v>
      </c>
      <c r="AX6" s="356">
        <f t="shared" si="9"/>
        <v>24.983333333333338</v>
      </c>
      <c r="AY6" s="359">
        <f t="shared" si="11"/>
        <v>0.35912783240701152</v>
      </c>
      <c r="AZ6" s="360">
        <f t="shared" si="10"/>
        <v>0.6408721675929886</v>
      </c>
      <c r="BA6" s="287">
        <v>3411446</v>
      </c>
      <c r="BB6" s="287">
        <f t="shared" ref="BB6:BB69" si="12">+BA6/L6</f>
        <v>63174.925925925927</v>
      </c>
    </row>
    <row r="7" spans="1:54" ht="15.75" thickBot="1" x14ac:dyDescent="0.3">
      <c r="A7" s="17" t="s">
        <v>300</v>
      </c>
      <c r="B7" s="71" t="s">
        <v>301</v>
      </c>
      <c r="C7" s="18" t="s">
        <v>114</v>
      </c>
      <c r="D7" s="18"/>
      <c r="E7" s="18"/>
      <c r="F7" s="18"/>
      <c r="G7" s="19" t="s">
        <v>57</v>
      </c>
      <c r="H7" s="19"/>
      <c r="I7" s="20" t="s">
        <v>57</v>
      </c>
      <c r="J7" s="20" t="s">
        <v>302</v>
      </c>
      <c r="K7" s="20" t="s">
        <v>303</v>
      </c>
      <c r="L7" s="72">
        <v>54</v>
      </c>
      <c r="M7" s="22">
        <v>9</v>
      </c>
      <c r="N7" s="22">
        <v>2</v>
      </c>
      <c r="O7" s="22"/>
      <c r="P7" s="22"/>
      <c r="Q7" s="22"/>
      <c r="R7" s="23">
        <f t="shared" ref="R7:R12" si="13">IF(G7="x",1,"")</f>
        <v>1</v>
      </c>
      <c r="S7" s="24">
        <f t="shared" si="0"/>
        <v>12</v>
      </c>
      <c r="T7" s="25">
        <f>IF($C7="",0,VLOOKUP($C7,[2]Hoja1!$C$11:$D$27,2,FALSE)*M7)+IF($D7="",0,VLOOKUP($D7,[2]Hoja1!$C$11:$D$27,2,FALSE)*N7)+IF($F7="",0,VLOOKUP($F7,[2]Hoja1!$C$11:$D$27,2,FALSE)*P7)+IF(R7="",0,R7*0.5)</f>
        <v>5</v>
      </c>
      <c r="U7" s="22">
        <v>5</v>
      </c>
      <c r="V7" s="22">
        <v>0</v>
      </c>
      <c r="W7" s="26">
        <v>1.5</v>
      </c>
      <c r="X7" s="22">
        <v>2</v>
      </c>
      <c r="Y7" s="22"/>
      <c r="Z7" s="22"/>
      <c r="AA7" s="22"/>
      <c r="AB7" s="22"/>
      <c r="AC7" s="22">
        <v>1</v>
      </c>
      <c r="AD7" s="22"/>
      <c r="AE7" s="22"/>
      <c r="AF7" s="22">
        <v>1</v>
      </c>
      <c r="AG7" s="29" t="s">
        <v>297</v>
      </c>
      <c r="AH7" s="28">
        <f t="shared" si="1"/>
        <v>15.5</v>
      </c>
      <c r="AI7" s="170">
        <v>25</v>
      </c>
      <c r="AJ7" s="170"/>
      <c r="AK7" s="22"/>
      <c r="AL7" s="22"/>
      <c r="AM7" s="22"/>
      <c r="AN7" s="30">
        <f t="shared" si="2"/>
        <v>25</v>
      </c>
      <c r="AO7" s="39"/>
      <c r="AP7" s="39"/>
      <c r="AQ7" s="33">
        <f t="shared" si="3"/>
        <v>0</v>
      </c>
      <c r="AR7" s="60">
        <f t="shared" si="4"/>
        <v>52.5</v>
      </c>
      <c r="AS7" s="343">
        <f t="shared" si="5"/>
        <v>1.5</v>
      </c>
      <c r="AT7" s="355">
        <v>40.18333333333333</v>
      </c>
      <c r="AU7" s="356">
        <f t="shared" si="6"/>
        <v>8</v>
      </c>
      <c r="AV7" s="357">
        <f t="shared" si="7"/>
        <v>16.666666666666668</v>
      </c>
      <c r="AW7" s="358">
        <f t="shared" si="8"/>
        <v>0</v>
      </c>
      <c r="AX7" s="356">
        <f t="shared" si="9"/>
        <v>15.516666666666662</v>
      </c>
      <c r="AY7" s="359">
        <f t="shared" si="11"/>
        <v>0.34018426647767547</v>
      </c>
      <c r="AZ7" s="360">
        <f t="shared" si="10"/>
        <v>0.65981573352232448</v>
      </c>
      <c r="BA7" s="287">
        <v>2504790</v>
      </c>
      <c r="BB7" s="287">
        <f t="shared" si="12"/>
        <v>46385</v>
      </c>
    </row>
    <row r="8" spans="1:54" ht="15.75" thickBot="1" x14ac:dyDescent="0.3">
      <c r="A8" s="17" t="s">
        <v>304</v>
      </c>
      <c r="B8" s="17" t="s">
        <v>305</v>
      </c>
      <c r="C8" s="18" t="s">
        <v>114</v>
      </c>
      <c r="D8" s="18"/>
      <c r="E8" s="18"/>
      <c r="F8" s="18"/>
      <c r="G8" s="19" t="s">
        <v>57</v>
      </c>
      <c r="H8" s="19"/>
      <c r="I8" s="20"/>
      <c r="J8" s="20"/>
      <c r="K8" s="20"/>
      <c r="L8" s="72">
        <v>54</v>
      </c>
      <c r="M8" s="22">
        <v>22</v>
      </c>
      <c r="N8" s="22"/>
      <c r="O8" s="22"/>
      <c r="P8" s="22"/>
      <c r="Q8" s="22">
        <v>3</v>
      </c>
      <c r="R8" s="23">
        <f t="shared" si="13"/>
        <v>1</v>
      </c>
      <c r="S8" s="24">
        <f t="shared" si="0"/>
        <v>26</v>
      </c>
      <c r="T8" s="25">
        <f>IF($C8="",0,VLOOKUP($C8,[2]Hoja1!$C$11:$D$27,2,FALSE)*M8)+IF($D8="",0,VLOOKUP($D8,[2]Hoja1!$C$11:$D$27,2,FALSE)*N8)+IF($F8="",0,VLOOKUP($F8,[2]Hoja1!$C$11:$D$27,2,FALSE)*P8)+IF(R8="",0,R8*0.5)</f>
        <v>11.5</v>
      </c>
      <c r="U8" s="22">
        <v>5</v>
      </c>
      <c r="V8" s="22">
        <v>0</v>
      </c>
      <c r="W8" s="26">
        <v>1.5</v>
      </c>
      <c r="X8" s="22"/>
      <c r="Y8" s="22"/>
      <c r="Z8" s="22"/>
      <c r="AA8" s="22"/>
      <c r="AB8" s="22"/>
      <c r="AC8" s="22">
        <v>2</v>
      </c>
      <c r="AD8" s="22">
        <v>1</v>
      </c>
      <c r="AE8" s="22"/>
      <c r="AF8" s="22">
        <v>4</v>
      </c>
      <c r="AG8" s="29" t="s">
        <v>306</v>
      </c>
      <c r="AH8" s="28">
        <f t="shared" si="1"/>
        <v>25</v>
      </c>
      <c r="AI8" s="22"/>
      <c r="AJ8" s="22"/>
      <c r="AK8" s="22"/>
      <c r="AL8" s="22"/>
      <c r="AM8" s="22"/>
      <c r="AN8" s="30">
        <f t="shared" si="2"/>
        <v>0</v>
      </c>
      <c r="AO8" s="39"/>
      <c r="AP8" s="39"/>
      <c r="AQ8" s="33">
        <f t="shared" si="3"/>
        <v>0</v>
      </c>
      <c r="AR8" s="60">
        <f t="shared" si="4"/>
        <v>51</v>
      </c>
      <c r="AS8" s="343">
        <f t="shared" si="5"/>
        <v>3</v>
      </c>
      <c r="AT8" s="355">
        <v>40.366666666666667</v>
      </c>
      <c r="AU8" s="356">
        <f t="shared" si="6"/>
        <v>17.333333333333332</v>
      </c>
      <c r="AV8" s="357">
        <f t="shared" si="7"/>
        <v>0</v>
      </c>
      <c r="AW8" s="358">
        <f t="shared" si="8"/>
        <v>0</v>
      </c>
      <c r="AX8" s="356">
        <f t="shared" si="9"/>
        <v>23.033333333333335</v>
      </c>
      <c r="AY8" s="359">
        <f t="shared" si="11"/>
        <v>0.42939719240297269</v>
      </c>
      <c r="AZ8" s="360">
        <f t="shared" si="10"/>
        <v>0.57060280759702731</v>
      </c>
      <c r="BA8" s="287">
        <v>2081810</v>
      </c>
      <c r="BB8" s="287">
        <f t="shared" si="12"/>
        <v>38552.037037037036</v>
      </c>
    </row>
    <row r="9" spans="1:54" ht="15.75" thickBot="1" x14ac:dyDescent="0.3">
      <c r="A9" s="17" t="s">
        <v>307</v>
      </c>
      <c r="B9" s="17" t="s">
        <v>308</v>
      </c>
      <c r="C9" s="18" t="s">
        <v>126</v>
      </c>
      <c r="D9" s="18"/>
      <c r="E9" s="18"/>
      <c r="F9" s="18"/>
      <c r="G9" s="19" t="s">
        <v>57</v>
      </c>
      <c r="H9" s="19"/>
      <c r="I9" s="20"/>
      <c r="J9" s="20"/>
      <c r="K9" s="20" t="s">
        <v>309</v>
      </c>
      <c r="L9" s="72">
        <v>55</v>
      </c>
      <c r="M9" s="22">
        <v>22</v>
      </c>
      <c r="N9" s="22"/>
      <c r="O9" s="22"/>
      <c r="P9" s="22"/>
      <c r="Q9" s="22"/>
      <c r="R9" s="23">
        <f t="shared" si="13"/>
        <v>1</v>
      </c>
      <c r="S9" s="24">
        <f t="shared" si="0"/>
        <v>23</v>
      </c>
      <c r="T9" s="25">
        <f>IF($C9="",0,VLOOKUP($C9,[2]Hoja1!$C$11:$D$27,2,FALSE)*M9)+IF($D9="",0,VLOOKUP($D9,[2]Hoja1!$C$11:$D$27,2,FALSE)*N9)+IF($F9="",0,VLOOKUP($F9,[2]Hoja1!$C$11:$D$27,2,FALSE)*P9)+IF(R9="",0,R9*0.5)</f>
        <v>7.1</v>
      </c>
      <c r="U9" s="22">
        <f t="shared" ref="U9:U17" si="14">IF(G9="x",4,"")</f>
        <v>4</v>
      </c>
      <c r="V9" s="22">
        <v>4</v>
      </c>
      <c r="W9" s="26">
        <v>1.5</v>
      </c>
      <c r="X9" s="22"/>
      <c r="Y9" s="22">
        <v>10</v>
      </c>
      <c r="Z9" s="22"/>
      <c r="AA9" s="22"/>
      <c r="AB9" s="22">
        <v>3</v>
      </c>
      <c r="AC9" s="22">
        <v>1</v>
      </c>
      <c r="AD9" s="22">
        <v>0.5</v>
      </c>
      <c r="AE9" s="22"/>
      <c r="AF9" s="22">
        <v>6</v>
      </c>
      <c r="AG9" s="29" t="s">
        <v>310</v>
      </c>
      <c r="AH9" s="28">
        <f t="shared" si="1"/>
        <v>37.1</v>
      </c>
      <c r="AI9" s="22"/>
      <c r="AJ9" s="22"/>
      <c r="AK9" s="22"/>
      <c r="AL9" s="22"/>
      <c r="AM9" s="22"/>
      <c r="AN9" s="30">
        <f t="shared" si="2"/>
        <v>0</v>
      </c>
      <c r="AO9" s="39"/>
      <c r="AP9" s="39"/>
      <c r="AQ9" s="33">
        <f t="shared" si="3"/>
        <v>0</v>
      </c>
      <c r="AR9" s="60">
        <f t="shared" si="4"/>
        <v>60.1</v>
      </c>
      <c r="AS9" s="343">
        <f t="shared" si="5"/>
        <v>-5.1000000000000014</v>
      </c>
      <c r="AT9" s="355">
        <v>31.366666666666667</v>
      </c>
      <c r="AU9" s="356">
        <f t="shared" si="6"/>
        <v>17.333333333333332</v>
      </c>
      <c r="AV9" s="357">
        <f t="shared" si="7"/>
        <v>0</v>
      </c>
      <c r="AW9" s="358">
        <f t="shared" si="8"/>
        <v>0</v>
      </c>
      <c r="AX9" s="356">
        <f t="shared" si="9"/>
        <v>14.033333333333335</v>
      </c>
      <c r="AY9" s="359">
        <f t="shared" si="11"/>
        <v>0.55260361317747075</v>
      </c>
      <c r="AZ9" s="360">
        <f t="shared" si="10"/>
        <v>0.44739638682252925</v>
      </c>
      <c r="BA9" s="287">
        <v>3917675</v>
      </c>
      <c r="BB9" s="287">
        <f t="shared" si="12"/>
        <v>71230.454545454544</v>
      </c>
    </row>
    <row r="10" spans="1:54" ht="15.75" thickBot="1" x14ac:dyDescent="0.3">
      <c r="A10" s="17" t="s">
        <v>311</v>
      </c>
      <c r="B10" s="17" t="s">
        <v>312</v>
      </c>
      <c r="C10" s="18" t="s">
        <v>126</v>
      </c>
      <c r="D10" s="18"/>
      <c r="E10" s="18"/>
      <c r="F10" s="18"/>
      <c r="G10" s="19" t="s">
        <v>57</v>
      </c>
      <c r="H10" s="19"/>
      <c r="I10" s="20"/>
      <c r="J10" s="20"/>
      <c r="K10" s="20" t="s">
        <v>309</v>
      </c>
      <c r="L10" s="72">
        <v>55</v>
      </c>
      <c r="M10" s="22">
        <v>22</v>
      </c>
      <c r="N10" s="22"/>
      <c r="O10" s="22"/>
      <c r="P10" s="22"/>
      <c r="Q10" s="22"/>
      <c r="R10" s="23">
        <f t="shared" si="13"/>
        <v>1</v>
      </c>
      <c r="S10" s="24">
        <f t="shared" si="0"/>
        <v>23</v>
      </c>
      <c r="T10" s="25">
        <f>IF($C10="",0,VLOOKUP($C10,[2]Hoja1!$C$11:$D$27,2,FALSE)*M10)+IF($D10="",0,VLOOKUP($D10,[2]Hoja1!$C$11:$D$27,2,FALSE)*N10)+IF($F10="",0,VLOOKUP($F10,[2]Hoja1!$C$11:$D$27,2,FALSE)*P10)+IF(R10="",0,R10*0.5)</f>
        <v>7.1</v>
      </c>
      <c r="U10" s="22">
        <f t="shared" si="14"/>
        <v>4</v>
      </c>
      <c r="V10" s="22">
        <v>4</v>
      </c>
      <c r="W10" s="26">
        <v>1.5</v>
      </c>
      <c r="X10" s="22"/>
      <c r="Y10" s="22">
        <v>10</v>
      </c>
      <c r="Z10" s="22"/>
      <c r="AA10" s="22"/>
      <c r="AB10" s="22">
        <v>3</v>
      </c>
      <c r="AC10" s="22">
        <v>1</v>
      </c>
      <c r="AD10" s="22">
        <v>0.5</v>
      </c>
      <c r="AE10" s="22"/>
      <c r="AF10" s="22">
        <v>6</v>
      </c>
      <c r="AG10" s="29" t="s">
        <v>313</v>
      </c>
      <c r="AH10" s="28">
        <f t="shared" si="1"/>
        <v>37.1</v>
      </c>
      <c r="AI10" s="22"/>
      <c r="AJ10" s="22"/>
      <c r="AK10" s="22"/>
      <c r="AL10" s="22"/>
      <c r="AM10" s="22"/>
      <c r="AN10" s="30">
        <f t="shared" si="2"/>
        <v>0</v>
      </c>
      <c r="AO10" s="39"/>
      <c r="AP10" s="39"/>
      <c r="AQ10" s="33">
        <f t="shared" si="3"/>
        <v>0</v>
      </c>
      <c r="AR10" s="60">
        <f t="shared" si="4"/>
        <v>60.1</v>
      </c>
      <c r="AS10" s="343">
        <f t="shared" si="5"/>
        <v>-5.1000000000000014</v>
      </c>
      <c r="AT10" s="355">
        <v>38.299999999999997</v>
      </c>
      <c r="AU10" s="356">
        <f t="shared" si="6"/>
        <v>17.333333333333332</v>
      </c>
      <c r="AV10" s="357">
        <f t="shared" si="7"/>
        <v>0</v>
      </c>
      <c r="AW10" s="358">
        <f t="shared" si="8"/>
        <v>0</v>
      </c>
      <c r="AX10" s="356">
        <f t="shared" si="9"/>
        <v>20.966666666666665</v>
      </c>
      <c r="AY10" s="359">
        <f t="shared" si="11"/>
        <v>0.4525674499564839</v>
      </c>
      <c r="AZ10" s="360">
        <f t="shared" si="10"/>
        <v>0.5474325500435161</v>
      </c>
      <c r="BA10" s="287">
        <v>2845229</v>
      </c>
      <c r="BB10" s="287">
        <f t="shared" si="12"/>
        <v>51731.436363636363</v>
      </c>
    </row>
    <row r="11" spans="1:54" ht="15.75" thickBot="1" x14ac:dyDescent="0.3">
      <c r="A11" s="17" t="s">
        <v>314</v>
      </c>
      <c r="B11" s="17" t="s">
        <v>315</v>
      </c>
      <c r="C11" s="340" t="s">
        <v>114</v>
      </c>
      <c r="D11" s="340"/>
      <c r="E11" s="340"/>
      <c r="F11" s="340"/>
      <c r="G11" s="19"/>
      <c r="H11" s="19"/>
      <c r="I11" s="20"/>
      <c r="J11" s="20"/>
      <c r="K11" s="20"/>
      <c r="L11" s="72">
        <v>54</v>
      </c>
      <c r="M11" s="22">
        <v>28</v>
      </c>
      <c r="N11" s="22"/>
      <c r="O11" s="22"/>
      <c r="P11" s="22"/>
      <c r="Q11" s="22"/>
      <c r="R11" s="23" t="str">
        <f t="shared" si="13"/>
        <v/>
      </c>
      <c r="S11" s="24">
        <f t="shared" si="0"/>
        <v>28</v>
      </c>
      <c r="T11" s="25">
        <f>IF($C11="",0,VLOOKUP($C11,[2]Hoja1!$C$11:$D$27,2,FALSE)*M11)+IF($D11="",0,VLOOKUP($D11,[2]Hoja1!$C$11:$D$27,2,FALSE)*N11)+IF($F11="",0,VLOOKUP($F11,[2]Hoja1!$C$11:$D$27,2,FALSE)*P11)+IF(R11="",0,R11*0.5)</f>
        <v>14</v>
      </c>
      <c r="U11" s="22" t="str">
        <f t="shared" si="14"/>
        <v/>
      </c>
      <c r="V11" s="22"/>
      <c r="W11" s="26">
        <v>1.5</v>
      </c>
      <c r="X11" s="22"/>
      <c r="Y11" s="22"/>
      <c r="Z11" s="22"/>
      <c r="AA11" s="22"/>
      <c r="AB11" s="22"/>
      <c r="AC11" s="22">
        <v>1</v>
      </c>
      <c r="AD11" s="22">
        <v>1</v>
      </c>
      <c r="AE11" s="22"/>
      <c r="AF11" s="22"/>
      <c r="AG11" s="29"/>
      <c r="AH11" s="28">
        <f t="shared" si="1"/>
        <v>17.5</v>
      </c>
      <c r="AI11" s="22"/>
      <c r="AJ11" s="22"/>
      <c r="AK11" s="22"/>
      <c r="AL11" s="22"/>
      <c r="AM11" s="22"/>
      <c r="AN11" s="30">
        <f t="shared" si="2"/>
        <v>0</v>
      </c>
      <c r="AO11" s="39"/>
      <c r="AP11" s="39"/>
      <c r="AQ11" s="33">
        <f t="shared" si="3"/>
        <v>0</v>
      </c>
      <c r="AR11" s="60">
        <f t="shared" si="4"/>
        <v>45.5</v>
      </c>
      <c r="AS11" s="343">
        <f t="shared" si="5"/>
        <v>8.5</v>
      </c>
      <c r="AT11" s="355">
        <v>40.466666666666669</v>
      </c>
      <c r="AU11" s="356">
        <f t="shared" si="6"/>
        <v>18.666666666666668</v>
      </c>
      <c r="AV11" s="357">
        <f t="shared" si="7"/>
        <v>0</v>
      </c>
      <c r="AW11" s="358">
        <f t="shared" si="8"/>
        <v>0</v>
      </c>
      <c r="AX11" s="356">
        <f t="shared" si="9"/>
        <v>21.8</v>
      </c>
      <c r="AY11" s="359">
        <f t="shared" si="11"/>
        <v>0.46128500823723229</v>
      </c>
      <c r="AZ11" s="360">
        <f t="shared" si="10"/>
        <v>0.53871499176276771</v>
      </c>
      <c r="BA11" s="287">
        <v>1900000</v>
      </c>
      <c r="BB11" s="287">
        <f t="shared" si="12"/>
        <v>35185.185185185182</v>
      </c>
    </row>
    <row r="12" spans="1:54" ht="15.75" thickBot="1" x14ac:dyDescent="0.3">
      <c r="A12" s="17" t="s">
        <v>316</v>
      </c>
      <c r="B12" s="17" t="s">
        <v>317</v>
      </c>
      <c r="C12" s="18" t="s">
        <v>61</v>
      </c>
      <c r="D12" s="18"/>
      <c r="E12" s="18"/>
      <c r="F12" s="18"/>
      <c r="G12" s="19" t="s">
        <v>57</v>
      </c>
      <c r="H12" s="19"/>
      <c r="I12" s="20"/>
      <c r="J12" s="20"/>
      <c r="K12" s="20" t="s">
        <v>318</v>
      </c>
      <c r="L12" s="72">
        <v>54</v>
      </c>
      <c r="M12" s="22">
        <v>22</v>
      </c>
      <c r="N12" s="22"/>
      <c r="O12" s="22"/>
      <c r="P12" s="22"/>
      <c r="Q12" s="22"/>
      <c r="R12" s="23">
        <f t="shared" si="13"/>
        <v>1</v>
      </c>
      <c r="S12" s="24">
        <f t="shared" si="0"/>
        <v>23</v>
      </c>
      <c r="T12" s="25">
        <f>IF($C12="",0,VLOOKUP($C12,[2]Hoja1!$C$11:$D$27,2,FALSE)*M12)+IF($D12="",0,VLOOKUP($D12,[2]Hoja1!$C$11:$D$27,2,FALSE)*N12)+IF($F12="",0,VLOOKUP($F12,[2]Hoja1!$C$11:$D$27,2,FALSE)*P12)+IF(R12="",0,R12*0.5)</f>
        <v>11.5</v>
      </c>
      <c r="U12" s="22">
        <f t="shared" si="14"/>
        <v>4</v>
      </c>
      <c r="V12" s="22">
        <v>4</v>
      </c>
      <c r="W12" s="26">
        <v>1.5</v>
      </c>
      <c r="X12" s="22"/>
      <c r="Y12" s="22"/>
      <c r="Z12" s="22"/>
      <c r="AA12" s="22"/>
      <c r="AB12" s="22">
        <v>2</v>
      </c>
      <c r="AC12" s="22">
        <v>1</v>
      </c>
      <c r="AD12" s="22">
        <v>0.5</v>
      </c>
      <c r="AE12" s="22"/>
      <c r="AF12" s="22">
        <v>1</v>
      </c>
      <c r="AG12" s="29" t="s">
        <v>297</v>
      </c>
      <c r="AH12" s="28">
        <f t="shared" si="1"/>
        <v>25.5</v>
      </c>
      <c r="AI12" s="22"/>
      <c r="AJ12" s="22"/>
      <c r="AK12" s="22"/>
      <c r="AL12" s="22"/>
      <c r="AM12" s="22"/>
      <c r="AN12" s="30">
        <f t="shared" si="2"/>
        <v>0</v>
      </c>
      <c r="AO12" s="39"/>
      <c r="AP12" s="39"/>
      <c r="AQ12" s="33">
        <f t="shared" si="3"/>
        <v>0</v>
      </c>
      <c r="AR12" s="60">
        <f t="shared" si="4"/>
        <v>48.5</v>
      </c>
      <c r="AS12" s="343">
        <f t="shared" si="5"/>
        <v>5.5</v>
      </c>
      <c r="AT12" s="355">
        <v>40.266666666666666</v>
      </c>
      <c r="AU12" s="356">
        <f t="shared" si="6"/>
        <v>16.666666666666668</v>
      </c>
      <c r="AV12" s="357">
        <f t="shared" si="7"/>
        <v>0</v>
      </c>
      <c r="AW12" s="358">
        <f t="shared" si="8"/>
        <v>0</v>
      </c>
      <c r="AX12" s="356">
        <f t="shared" si="9"/>
        <v>23.599999999999998</v>
      </c>
      <c r="AY12" s="359">
        <f t="shared" si="11"/>
        <v>0.41390728476821198</v>
      </c>
      <c r="AZ12" s="360">
        <f t="shared" si="10"/>
        <v>0.58609271523178808</v>
      </c>
      <c r="BA12" s="287">
        <v>3708793</v>
      </c>
      <c r="BB12" s="287">
        <f t="shared" si="12"/>
        <v>68681.351851851854</v>
      </c>
    </row>
    <row r="13" spans="1:54" ht="15.75" thickBot="1" x14ac:dyDescent="0.3">
      <c r="A13" s="17" t="s">
        <v>319</v>
      </c>
      <c r="B13" s="17" t="s">
        <v>320</v>
      </c>
      <c r="C13" s="61" t="s">
        <v>295</v>
      </c>
      <c r="D13" s="62"/>
      <c r="E13" s="62"/>
      <c r="F13" s="62"/>
      <c r="G13" s="63" t="s">
        <v>57</v>
      </c>
      <c r="H13" s="63"/>
      <c r="I13" s="64"/>
      <c r="J13" s="64"/>
      <c r="K13" s="64" t="s">
        <v>296</v>
      </c>
      <c r="L13" s="65">
        <v>54</v>
      </c>
      <c r="M13" s="66">
        <v>7</v>
      </c>
      <c r="N13" s="67"/>
      <c r="O13" s="67"/>
      <c r="P13" s="67">
        <v>9</v>
      </c>
      <c r="Q13" s="67"/>
      <c r="R13" s="67">
        <v>1</v>
      </c>
      <c r="S13" s="24">
        <f t="shared" si="0"/>
        <v>17</v>
      </c>
      <c r="T13" s="25">
        <f>IF($C13="",0,VLOOKUP($C13,[2]Hoja1!$C$11:$D$27,2,FALSE)*M13)+IF($D13="",0,VLOOKUP($D13,[2]Hoja1!$C$11:$D$27,2,FALSE)*N13)+IF($F13="",0,VLOOKUP($F13,[2]Hoja1!$C$11:$D$27,2,FALSE)*P13)+IF(R13="",0,R13*0.5)</f>
        <v>4</v>
      </c>
      <c r="U13" s="22">
        <f t="shared" si="14"/>
        <v>4</v>
      </c>
      <c r="V13" s="67">
        <v>4</v>
      </c>
      <c r="W13" s="68">
        <v>1.5</v>
      </c>
      <c r="X13" s="67"/>
      <c r="Y13" s="67"/>
      <c r="Z13" s="67">
        <v>1</v>
      </c>
      <c r="AA13" s="67"/>
      <c r="AB13" s="67">
        <v>2</v>
      </c>
      <c r="AC13" s="67">
        <v>1</v>
      </c>
      <c r="AD13" s="67">
        <v>0.5</v>
      </c>
      <c r="AE13" s="67"/>
      <c r="AF13" s="67">
        <v>3</v>
      </c>
      <c r="AG13" s="69" t="s">
        <v>321</v>
      </c>
      <c r="AH13" s="28">
        <f t="shared" si="1"/>
        <v>21</v>
      </c>
      <c r="AI13" s="66"/>
      <c r="AJ13" s="67"/>
      <c r="AK13" s="67"/>
      <c r="AL13" s="67">
        <v>2</v>
      </c>
      <c r="AM13" s="67" t="s">
        <v>49</v>
      </c>
      <c r="AN13" s="30">
        <f t="shared" si="2"/>
        <v>2</v>
      </c>
      <c r="AO13" s="70"/>
      <c r="AP13" s="70"/>
      <c r="AQ13" s="33">
        <f t="shared" si="3"/>
        <v>0</v>
      </c>
      <c r="AR13" s="60">
        <f t="shared" si="4"/>
        <v>40</v>
      </c>
      <c r="AS13" s="343">
        <f t="shared" si="5"/>
        <v>14</v>
      </c>
      <c r="AT13" s="355">
        <v>40.31666666666667</v>
      </c>
      <c r="AU13" s="356">
        <f t="shared" si="6"/>
        <v>12.666666666666666</v>
      </c>
      <c r="AV13" s="357">
        <f t="shared" si="7"/>
        <v>1.3333333333333333</v>
      </c>
      <c r="AW13" s="358">
        <f t="shared" si="8"/>
        <v>0</v>
      </c>
      <c r="AX13" s="356">
        <f t="shared" si="9"/>
        <v>26.316666666666674</v>
      </c>
      <c r="AY13" s="359">
        <f t="shared" si="11"/>
        <v>0.3249251817015818</v>
      </c>
      <c r="AZ13" s="360">
        <f t="shared" si="10"/>
        <v>0.6750748182984182</v>
      </c>
      <c r="BA13" s="287">
        <v>2046932</v>
      </c>
      <c r="BB13" s="287">
        <f t="shared" si="12"/>
        <v>37906.148148148146</v>
      </c>
    </row>
    <row r="14" spans="1:54" ht="15.75" thickBot="1" x14ac:dyDescent="0.3">
      <c r="A14" s="17" t="s">
        <v>322</v>
      </c>
      <c r="B14" s="17" t="s">
        <v>323</v>
      </c>
      <c r="C14" s="18" t="s">
        <v>126</v>
      </c>
      <c r="D14" s="18"/>
      <c r="E14" s="18"/>
      <c r="F14" s="18"/>
      <c r="G14" s="19"/>
      <c r="H14" s="19"/>
      <c r="I14" s="20"/>
      <c r="J14" s="20"/>
      <c r="K14" s="20" t="s">
        <v>309</v>
      </c>
      <c r="L14" s="72">
        <v>31</v>
      </c>
      <c r="M14" s="22">
        <v>18</v>
      </c>
      <c r="N14" s="22"/>
      <c r="O14" s="22"/>
      <c r="P14" s="22"/>
      <c r="Q14" s="22"/>
      <c r="R14" s="23" t="str">
        <f>IF(G14="x",1,"")</f>
        <v/>
      </c>
      <c r="S14" s="24">
        <f t="shared" si="0"/>
        <v>18</v>
      </c>
      <c r="T14" s="25">
        <f>IF($C14="",0,VLOOKUP($C14,[2]Hoja1!$C$11:$D$27,2,FALSE)*M14)+IF($D14="",0,VLOOKUP($D14,[2]Hoja1!$C$11:$D$27,2,FALSE)*N14)+IF($F14="",0,VLOOKUP($F14,[2]Hoja1!$C$11:$D$27,2,FALSE)*P14)+IF(R14="",0,R14*0.5)</f>
        <v>5.3999999999999995</v>
      </c>
      <c r="U14" s="22" t="str">
        <f t="shared" si="14"/>
        <v/>
      </c>
      <c r="V14" s="22" t="s">
        <v>291</v>
      </c>
      <c r="W14" s="26">
        <v>1.5</v>
      </c>
      <c r="X14" s="22"/>
      <c r="Y14" s="22">
        <v>10</v>
      </c>
      <c r="Z14" s="22"/>
      <c r="AA14" s="22"/>
      <c r="AB14" s="22"/>
      <c r="AC14" s="22"/>
      <c r="AD14" s="22"/>
      <c r="AE14" s="22"/>
      <c r="AF14" s="22">
        <v>8</v>
      </c>
      <c r="AG14" s="29" t="s">
        <v>313</v>
      </c>
      <c r="AH14" s="28">
        <f t="shared" si="1"/>
        <v>24.9</v>
      </c>
      <c r="AI14" s="22"/>
      <c r="AJ14" s="22"/>
      <c r="AK14" s="22"/>
      <c r="AL14" s="22"/>
      <c r="AM14" s="22"/>
      <c r="AN14" s="30">
        <f t="shared" si="2"/>
        <v>0</v>
      </c>
      <c r="AO14" s="39"/>
      <c r="AP14" s="39"/>
      <c r="AQ14" s="33">
        <f t="shared" si="3"/>
        <v>0</v>
      </c>
      <c r="AR14" s="60">
        <f t="shared" si="4"/>
        <v>42.9</v>
      </c>
      <c r="AS14" s="343">
        <f t="shared" si="5"/>
        <v>-11.899999999999999</v>
      </c>
      <c r="AT14" s="355">
        <v>21.266666666666666</v>
      </c>
      <c r="AU14" s="356">
        <f t="shared" si="6"/>
        <v>12</v>
      </c>
      <c r="AV14" s="357">
        <f t="shared" si="7"/>
        <v>0</v>
      </c>
      <c r="AW14" s="358">
        <f t="shared" si="8"/>
        <v>0</v>
      </c>
      <c r="AX14" s="356">
        <f t="shared" si="9"/>
        <v>9.2666666666666657</v>
      </c>
      <c r="AY14" s="359">
        <f t="shared" si="11"/>
        <v>0.5642633228840126</v>
      </c>
      <c r="AZ14" s="360">
        <f t="shared" si="10"/>
        <v>0.43573667711598746</v>
      </c>
      <c r="BA14" s="287">
        <v>1799202</v>
      </c>
      <c r="BB14" s="287">
        <f t="shared" si="12"/>
        <v>58038.774193548386</v>
      </c>
    </row>
    <row r="15" spans="1:54" ht="15.75" thickBot="1" x14ac:dyDescent="0.3">
      <c r="A15" s="17" t="s">
        <v>324</v>
      </c>
      <c r="B15" s="71" t="s">
        <v>325</v>
      </c>
      <c r="C15" s="18" t="s">
        <v>98</v>
      </c>
      <c r="D15" s="18"/>
      <c r="E15" s="18"/>
      <c r="F15" s="18"/>
      <c r="G15" s="19" t="s">
        <v>57</v>
      </c>
      <c r="H15" s="19"/>
      <c r="I15" s="20" t="s">
        <v>57</v>
      </c>
      <c r="J15" s="45" t="s">
        <v>155</v>
      </c>
      <c r="K15" s="20" t="s">
        <v>290</v>
      </c>
      <c r="L15" s="72">
        <v>54</v>
      </c>
      <c r="M15" s="22">
        <v>12</v>
      </c>
      <c r="N15" s="22"/>
      <c r="O15" s="22"/>
      <c r="P15" s="22"/>
      <c r="Q15" s="22"/>
      <c r="R15" s="23">
        <v>2</v>
      </c>
      <c r="S15" s="24">
        <f t="shared" si="0"/>
        <v>14</v>
      </c>
      <c r="T15" s="25">
        <f>IF($C15="",0,VLOOKUP($C15,[2]Hoja1!$C$11:$D$27,2,FALSE)*M15)+IF($D15="",0,VLOOKUP($D15,[2]Hoja1!$C$11:$D$27,2,FALSE)*N15)+IF($F15="",0,VLOOKUP($F15,[2]Hoja1!$C$11:$D$27,2,FALSE)*P15)+IF(R15="",0,R15*0.5)</f>
        <v>7</v>
      </c>
      <c r="U15" s="22">
        <f t="shared" si="14"/>
        <v>4</v>
      </c>
      <c r="V15" s="22">
        <v>4</v>
      </c>
      <c r="W15" s="26">
        <v>1.5</v>
      </c>
      <c r="X15" s="22">
        <v>2</v>
      </c>
      <c r="Y15" s="22"/>
      <c r="Z15" s="22"/>
      <c r="AA15" s="22"/>
      <c r="AB15" s="22">
        <v>3</v>
      </c>
      <c r="AC15" s="22"/>
      <c r="AD15" s="22"/>
      <c r="AE15" s="22"/>
      <c r="AF15" s="22">
        <v>2</v>
      </c>
      <c r="AG15" s="29" t="s">
        <v>326</v>
      </c>
      <c r="AH15" s="28">
        <f t="shared" si="1"/>
        <v>23.5</v>
      </c>
      <c r="AI15" s="170">
        <v>20</v>
      </c>
      <c r="AJ15" s="170"/>
      <c r="AK15" s="22"/>
      <c r="AL15" s="22"/>
      <c r="AM15" s="22"/>
      <c r="AN15" s="30">
        <f t="shared" si="2"/>
        <v>20</v>
      </c>
      <c r="AO15" s="39"/>
      <c r="AP15" s="39"/>
      <c r="AQ15" s="33">
        <f t="shared" si="3"/>
        <v>0</v>
      </c>
      <c r="AR15" s="60">
        <f t="shared" si="4"/>
        <v>57.5</v>
      </c>
      <c r="AS15" s="343">
        <f t="shared" si="5"/>
        <v>-3.5</v>
      </c>
      <c r="AT15" s="355">
        <v>40.15</v>
      </c>
      <c r="AU15" s="356">
        <f t="shared" si="6"/>
        <v>11.333333333333334</v>
      </c>
      <c r="AV15" s="357">
        <f t="shared" si="7"/>
        <v>13.333333333333334</v>
      </c>
      <c r="AW15" s="358">
        <f t="shared" si="8"/>
        <v>0</v>
      </c>
      <c r="AX15" s="356">
        <f t="shared" si="9"/>
        <v>15.483333333333329</v>
      </c>
      <c r="AY15" s="359">
        <f t="shared" si="11"/>
        <v>0.42262274704785591</v>
      </c>
      <c r="AZ15" s="360">
        <f t="shared" si="10"/>
        <v>0.57737725295214415</v>
      </c>
      <c r="BA15" s="287">
        <v>2767956</v>
      </c>
      <c r="BB15" s="287">
        <f t="shared" si="12"/>
        <v>51258.444444444445</v>
      </c>
    </row>
    <row r="16" spans="1:54" ht="15.75" thickBot="1" x14ac:dyDescent="0.3">
      <c r="A16" s="17" t="s">
        <v>327</v>
      </c>
      <c r="B16" s="17" t="s">
        <v>328</v>
      </c>
      <c r="C16" s="18" t="s">
        <v>55</v>
      </c>
      <c r="D16" s="18"/>
      <c r="E16" s="18"/>
      <c r="F16" s="18" t="s">
        <v>55</v>
      </c>
      <c r="G16" s="19" t="s">
        <v>57</v>
      </c>
      <c r="H16" s="19"/>
      <c r="I16" s="20"/>
      <c r="J16" s="20"/>
      <c r="K16" s="20"/>
      <c r="L16" s="72">
        <v>54</v>
      </c>
      <c r="M16" s="22">
        <v>14</v>
      </c>
      <c r="N16" s="22"/>
      <c r="O16" s="22"/>
      <c r="P16" s="22">
        <v>4</v>
      </c>
      <c r="Q16" s="22"/>
      <c r="R16" s="23">
        <f>IF(G16="x",1,"")</f>
        <v>1</v>
      </c>
      <c r="S16" s="24">
        <f t="shared" si="0"/>
        <v>19</v>
      </c>
      <c r="T16" s="25">
        <f>IF($C16="",0,VLOOKUP($C16,[2]Hoja1!$C$11:$D$27,2,FALSE)*M16)+IF($D16="",0,VLOOKUP($D16,[2]Hoja1!$C$11:$D$27,2,FALSE)*N16)+IF($F16="",0,VLOOKUP($F16,[2]Hoja1!$C$11:$D$27,2,FALSE)*P16)+IF(R16="",0,R16*0.5)</f>
        <v>11.3</v>
      </c>
      <c r="U16" s="22">
        <f t="shared" si="14"/>
        <v>4</v>
      </c>
      <c r="V16" s="22">
        <v>4</v>
      </c>
      <c r="W16" s="26">
        <v>1.5</v>
      </c>
      <c r="X16" s="22"/>
      <c r="Y16" s="22"/>
      <c r="Z16" s="22"/>
      <c r="AA16" s="22"/>
      <c r="AB16" s="22">
        <v>3</v>
      </c>
      <c r="AC16" s="22">
        <v>1</v>
      </c>
      <c r="AD16" s="22">
        <v>0.5</v>
      </c>
      <c r="AE16" s="22"/>
      <c r="AF16" s="22">
        <v>1</v>
      </c>
      <c r="AG16" s="29" t="s">
        <v>297</v>
      </c>
      <c r="AH16" s="28">
        <f t="shared" si="1"/>
        <v>26.3</v>
      </c>
      <c r="AI16" s="22"/>
      <c r="AJ16" s="22"/>
      <c r="AK16" s="22"/>
      <c r="AL16" s="22"/>
      <c r="AM16" s="22"/>
      <c r="AN16" s="30">
        <f t="shared" si="2"/>
        <v>0</v>
      </c>
      <c r="AO16" s="39"/>
      <c r="AP16" s="39"/>
      <c r="AQ16" s="33">
        <f t="shared" si="3"/>
        <v>0</v>
      </c>
      <c r="AR16" s="60">
        <f t="shared" si="4"/>
        <v>45.3</v>
      </c>
      <c r="AS16" s="343">
        <f t="shared" si="5"/>
        <v>8.7000000000000028</v>
      </c>
      <c r="AT16" s="355">
        <v>40.333333333333336</v>
      </c>
      <c r="AU16" s="356">
        <f t="shared" si="6"/>
        <v>14.666666666666666</v>
      </c>
      <c r="AV16" s="357">
        <f t="shared" si="7"/>
        <v>0</v>
      </c>
      <c r="AW16" s="358">
        <f t="shared" si="8"/>
        <v>0</v>
      </c>
      <c r="AX16" s="356">
        <f t="shared" si="9"/>
        <v>25.666666666666671</v>
      </c>
      <c r="AY16" s="359">
        <f t="shared" si="11"/>
        <v>0.36363636363636359</v>
      </c>
      <c r="AZ16" s="360">
        <f t="shared" si="10"/>
        <v>0.63636363636363646</v>
      </c>
      <c r="BA16" s="287">
        <v>2878543</v>
      </c>
      <c r="BB16" s="287">
        <f t="shared" si="12"/>
        <v>53306.351851851854</v>
      </c>
    </row>
    <row r="17" spans="1:54" ht="15.75" thickBot="1" x14ac:dyDescent="0.3">
      <c r="A17" s="17" t="s">
        <v>329</v>
      </c>
      <c r="B17" s="17" t="s">
        <v>330</v>
      </c>
      <c r="C17" s="18" t="s">
        <v>180</v>
      </c>
      <c r="D17" s="18"/>
      <c r="E17" s="18"/>
      <c r="F17" s="18"/>
      <c r="G17" s="19"/>
      <c r="H17" s="19"/>
      <c r="I17" s="20"/>
      <c r="J17" s="20"/>
      <c r="K17" s="20" t="s">
        <v>290</v>
      </c>
      <c r="L17" s="72">
        <v>22</v>
      </c>
      <c r="M17" s="22">
        <v>10</v>
      </c>
      <c r="N17" s="22"/>
      <c r="O17" s="22"/>
      <c r="P17" s="22"/>
      <c r="Q17" s="22"/>
      <c r="R17" s="23" t="str">
        <f>IF(G17="x",1,"")</f>
        <v/>
      </c>
      <c r="S17" s="24">
        <f t="shared" si="0"/>
        <v>10</v>
      </c>
      <c r="T17" s="25">
        <f>IF($C17="",0,VLOOKUP($C17,[2]Hoja1!$C$11:$D$27,2,FALSE)*M17)+IF($D17="",0,VLOOKUP($D17,[2]Hoja1!$C$11:$D$27,2,FALSE)*N17)+IF($F17="",0,VLOOKUP($F17,[2]Hoja1!$C$11:$D$27,2,FALSE)*P17)+IF(R17="",0,R17*0.5)</f>
        <v>3</v>
      </c>
      <c r="U17" s="22" t="str">
        <f t="shared" si="14"/>
        <v/>
      </c>
      <c r="V17" s="22" t="s">
        <v>291</v>
      </c>
      <c r="W17" s="26">
        <v>1.5</v>
      </c>
      <c r="X17" s="22"/>
      <c r="Y17" s="22">
        <v>8</v>
      </c>
      <c r="Z17" s="22"/>
      <c r="AA17" s="22"/>
      <c r="AB17" s="9"/>
      <c r="AC17" s="22"/>
      <c r="AD17" s="22"/>
      <c r="AE17" s="22"/>
      <c r="AF17" s="22">
        <v>2</v>
      </c>
      <c r="AG17" s="29" t="s">
        <v>292</v>
      </c>
      <c r="AH17" s="28">
        <f t="shared" si="1"/>
        <v>14.5</v>
      </c>
      <c r="AI17" s="22"/>
      <c r="AJ17" s="22"/>
      <c r="AK17" s="22"/>
      <c r="AL17" s="22"/>
      <c r="AM17" s="22"/>
      <c r="AN17" s="30">
        <f t="shared" si="2"/>
        <v>0</v>
      </c>
      <c r="AO17" s="39"/>
      <c r="AP17" s="39"/>
      <c r="AQ17" s="33">
        <f t="shared" si="3"/>
        <v>0</v>
      </c>
      <c r="AR17" s="60">
        <f t="shared" si="4"/>
        <v>24.5</v>
      </c>
      <c r="AS17" s="343">
        <f t="shared" si="5"/>
        <v>-2.5</v>
      </c>
      <c r="AT17" s="355">
        <v>16.166666666666668</v>
      </c>
      <c r="AU17" s="356">
        <f t="shared" si="6"/>
        <v>6.666666666666667</v>
      </c>
      <c r="AV17" s="357">
        <f t="shared" si="7"/>
        <v>0</v>
      </c>
      <c r="AW17" s="358">
        <f t="shared" si="8"/>
        <v>0</v>
      </c>
      <c r="AX17" s="356">
        <f t="shared" si="9"/>
        <v>9.5</v>
      </c>
      <c r="AY17" s="359">
        <f t="shared" si="11"/>
        <v>0.41237113402061853</v>
      </c>
      <c r="AZ17" s="360">
        <f t="shared" si="10"/>
        <v>0.58762886597938135</v>
      </c>
      <c r="BA17" s="287">
        <v>853962</v>
      </c>
      <c r="BB17" s="287">
        <f t="shared" si="12"/>
        <v>38816.454545454544</v>
      </c>
    </row>
    <row r="18" spans="1:54" ht="15.75" thickBot="1" x14ac:dyDescent="0.3">
      <c r="A18" s="17" t="s">
        <v>331</v>
      </c>
      <c r="B18" s="17" t="s">
        <v>332</v>
      </c>
      <c r="C18" s="18" t="s">
        <v>64</v>
      </c>
      <c r="D18" s="18"/>
      <c r="E18" s="18"/>
      <c r="F18" s="18"/>
      <c r="G18" s="19" t="s">
        <v>57</v>
      </c>
      <c r="H18" s="19"/>
      <c r="I18" s="20"/>
      <c r="J18" s="20"/>
      <c r="K18" s="20"/>
      <c r="L18" s="72">
        <v>54</v>
      </c>
      <c r="M18" s="22">
        <v>22</v>
      </c>
      <c r="N18" s="22"/>
      <c r="O18" s="22"/>
      <c r="P18" s="22"/>
      <c r="Q18" s="22">
        <v>4</v>
      </c>
      <c r="R18" s="23">
        <f>IF(G18="x",1,"")</f>
        <v>1</v>
      </c>
      <c r="S18" s="24">
        <f t="shared" si="0"/>
        <v>27</v>
      </c>
      <c r="T18" s="25">
        <f>IF($C18="",0,VLOOKUP($C18,[2]Hoja1!$C$11:$D$27,2,FALSE)*M18)+IF($D18="",0,VLOOKUP($D18,[2]Hoja1!$C$11:$D$27,2,FALSE)*N18)+IF($F18="",0,VLOOKUP($F18,[2]Hoja1!$C$11:$D$27,2,FALSE)*P18)+IF(R18="",0,R18*0.5)</f>
        <v>11.5</v>
      </c>
      <c r="U18" s="22">
        <v>5</v>
      </c>
      <c r="V18" s="22">
        <v>0</v>
      </c>
      <c r="W18" s="26">
        <v>1.5</v>
      </c>
      <c r="X18" s="22"/>
      <c r="Y18" s="22"/>
      <c r="Z18" s="22"/>
      <c r="AA18" s="22"/>
      <c r="AB18" s="22"/>
      <c r="AC18" s="22">
        <v>2</v>
      </c>
      <c r="AD18" s="22">
        <v>0.5</v>
      </c>
      <c r="AE18" s="22">
        <v>0.5</v>
      </c>
      <c r="AF18" s="22">
        <v>6</v>
      </c>
      <c r="AG18" s="29" t="s">
        <v>333</v>
      </c>
      <c r="AH18" s="28">
        <f t="shared" si="1"/>
        <v>27</v>
      </c>
      <c r="AI18" s="22"/>
      <c r="AJ18" s="22"/>
      <c r="AK18" s="22"/>
      <c r="AL18" s="22"/>
      <c r="AM18" s="22"/>
      <c r="AN18" s="30">
        <f t="shared" si="2"/>
        <v>0</v>
      </c>
      <c r="AO18" s="39"/>
      <c r="AP18" s="39"/>
      <c r="AQ18" s="33">
        <f t="shared" si="3"/>
        <v>0</v>
      </c>
      <c r="AR18" s="60">
        <f t="shared" si="4"/>
        <v>54</v>
      </c>
      <c r="AS18" s="343">
        <f t="shared" si="5"/>
        <v>0</v>
      </c>
      <c r="AT18" s="355">
        <v>40.366666666666667</v>
      </c>
      <c r="AU18" s="356">
        <f t="shared" si="6"/>
        <v>18</v>
      </c>
      <c r="AV18" s="357">
        <f t="shared" si="7"/>
        <v>0</v>
      </c>
      <c r="AW18" s="358">
        <f t="shared" si="8"/>
        <v>0</v>
      </c>
      <c r="AX18" s="356">
        <f t="shared" si="9"/>
        <v>22.366666666666667</v>
      </c>
      <c r="AY18" s="359">
        <f t="shared" si="11"/>
        <v>0.44591246903385628</v>
      </c>
      <c r="AZ18" s="360">
        <f t="shared" si="10"/>
        <v>0.55408753096614372</v>
      </c>
      <c r="BA18" s="287">
        <v>2697964</v>
      </c>
      <c r="BB18" s="287">
        <f t="shared" si="12"/>
        <v>49962.296296296299</v>
      </c>
    </row>
    <row r="19" spans="1:54" ht="15.75" thickBot="1" x14ac:dyDescent="0.3">
      <c r="A19" s="17" t="s">
        <v>334</v>
      </c>
      <c r="B19" s="17" t="s">
        <v>335</v>
      </c>
      <c r="C19" s="18" t="s">
        <v>114</v>
      </c>
      <c r="D19" s="18"/>
      <c r="E19" s="18"/>
      <c r="F19" s="18"/>
      <c r="G19" s="19" t="s">
        <v>57</v>
      </c>
      <c r="H19" s="19"/>
      <c r="I19" s="20"/>
      <c r="J19" s="20"/>
      <c r="K19" s="20"/>
      <c r="L19" s="72">
        <v>54</v>
      </c>
      <c r="M19" s="22">
        <v>22</v>
      </c>
      <c r="N19" s="22"/>
      <c r="O19" s="22"/>
      <c r="P19" s="22"/>
      <c r="Q19" s="22">
        <v>2</v>
      </c>
      <c r="R19" s="23">
        <v>2</v>
      </c>
      <c r="S19" s="24">
        <f t="shared" si="0"/>
        <v>26</v>
      </c>
      <c r="T19" s="25">
        <f>IF($C19="",0,VLOOKUP($C19,[2]Hoja1!$C$11:$D$27,2,FALSE)*M19)+IF($D19="",0,VLOOKUP($D19,[2]Hoja1!$C$11:$D$27,2,FALSE)*N19)+IF($F19="",0,VLOOKUP($F19,[2]Hoja1!$C$11:$D$27,2,FALSE)*P19)+IF(R19="",0,R19*0.5)</f>
        <v>12</v>
      </c>
      <c r="U19" s="22">
        <v>5</v>
      </c>
      <c r="V19" s="22">
        <v>0</v>
      </c>
      <c r="W19" s="26">
        <v>1.5</v>
      </c>
      <c r="X19" s="22">
        <v>2</v>
      </c>
      <c r="Y19" s="22"/>
      <c r="Z19" s="22"/>
      <c r="AA19" s="22"/>
      <c r="AB19" s="22"/>
      <c r="AC19" s="22">
        <v>1</v>
      </c>
      <c r="AD19" s="22">
        <v>1</v>
      </c>
      <c r="AE19" s="22">
        <v>1</v>
      </c>
      <c r="AF19" s="22">
        <v>4</v>
      </c>
      <c r="AG19" s="29" t="s">
        <v>336</v>
      </c>
      <c r="AH19" s="28">
        <f t="shared" si="1"/>
        <v>27.5</v>
      </c>
      <c r="AI19" s="22"/>
      <c r="AJ19" s="22"/>
      <c r="AK19" s="22"/>
      <c r="AL19" s="22"/>
      <c r="AM19" s="22"/>
      <c r="AN19" s="30">
        <f t="shared" si="2"/>
        <v>0</v>
      </c>
      <c r="AO19" s="39"/>
      <c r="AP19" s="39"/>
      <c r="AQ19" s="33">
        <f t="shared" si="3"/>
        <v>0</v>
      </c>
      <c r="AR19" s="60">
        <f t="shared" si="4"/>
        <v>53.5</v>
      </c>
      <c r="AS19" s="343">
        <f t="shared" si="5"/>
        <v>0.5</v>
      </c>
      <c r="AT19" s="355">
        <v>40.366666666666667</v>
      </c>
      <c r="AU19" s="356">
        <f t="shared" si="6"/>
        <v>17.333333333333332</v>
      </c>
      <c r="AV19" s="357">
        <f t="shared" si="7"/>
        <v>0</v>
      </c>
      <c r="AW19" s="358">
        <f t="shared" si="8"/>
        <v>0</v>
      </c>
      <c r="AX19" s="356">
        <f t="shared" si="9"/>
        <v>23.033333333333335</v>
      </c>
      <c r="AY19" s="359">
        <f t="shared" si="11"/>
        <v>0.42939719240297269</v>
      </c>
      <c r="AZ19" s="360">
        <f t="shared" si="10"/>
        <v>0.57060280759702731</v>
      </c>
      <c r="BA19" s="287">
        <v>1963038</v>
      </c>
      <c r="BB19" s="287">
        <f t="shared" si="12"/>
        <v>36352.555555555555</v>
      </c>
    </row>
    <row r="20" spans="1:54" ht="15.75" thickBot="1" x14ac:dyDescent="0.3">
      <c r="A20" s="17" t="s">
        <v>337</v>
      </c>
      <c r="B20" s="71" t="s">
        <v>338</v>
      </c>
      <c r="C20" s="18" t="s">
        <v>64</v>
      </c>
      <c r="D20" s="18"/>
      <c r="E20" s="18"/>
      <c r="F20" s="18"/>
      <c r="G20" s="19" t="s">
        <v>57</v>
      </c>
      <c r="H20" s="19"/>
      <c r="I20" s="20" t="s">
        <v>57</v>
      </c>
      <c r="J20" s="45" t="s">
        <v>155</v>
      </c>
      <c r="K20" s="20" t="s">
        <v>303</v>
      </c>
      <c r="L20" s="72">
        <v>54</v>
      </c>
      <c r="M20" s="22">
        <v>9</v>
      </c>
      <c r="N20" s="22"/>
      <c r="O20" s="22"/>
      <c r="P20" s="22"/>
      <c r="Q20" s="22"/>
      <c r="R20" s="23">
        <v>2</v>
      </c>
      <c r="S20" s="24">
        <f t="shared" si="0"/>
        <v>11</v>
      </c>
      <c r="T20" s="25">
        <f>IF($C20="",0,VLOOKUP($C20,[2]Hoja1!$C$11:$D$27,2,FALSE)*M20)+IF($D20="",0,VLOOKUP($D20,[2]Hoja1!$C$11:$D$27,2,FALSE)*N20)+IF($F20="",0,VLOOKUP($F20,[2]Hoja1!$C$11:$D$27,2,FALSE)*P20)+IF(R20="",0,R20*0.5)</f>
        <v>5.5</v>
      </c>
      <c r="U20" s="22">
        <v>5</v>
      </c>
      <c r="V20" s="22">
        <v>0</v>
      </c>
      <c r="W20" s="26">
        <v>1.5</v>
      </c>
      <c r="X20" s="22">
        <v>2</v>
      </c>
      <c r="Y20" s="22"/>
      <c r="Z20" s="22"/>
      <c r="AA20" s="22"/>
      <c r="AB20" s="22">
        <v>1</v>
      </c>
      <c r="AC20" s="22">
        <v>1</v>
      </c>
      <c r="AD20" s="22">
        <v>0.5</v>
      </c>
      <c r="AE20" s="22"/>
      <c r="AF20" s="22">
        <v>1</v>
      </c>
      <c r="AG20" s="29" t="s">
        <v>339</v>
      </c>
      <c r="AH20" s="28">
        <f t="shared" si="1"/>
        <v>17.5</v>
      </c>
      <c r="AI20" s="170">
        <v>26</v>
      </c>
      <c r="AJ20" s="170"/>
      <c r="AK20" s="22"/>
      <c r="AL20" s="22"/>
      <c r="AM20" s="22"/>
      <c r="AN20" s="30">
        <f t="shared" si="2"/>
        <v>26</v>
      </c>
      <c r="AO20" s="39"/>
      <c r="AP20" s="39"/>
      <c r="AQ20" s="33">
        <f t="shared" si="3"/>
        <v>0</v>
      </c>
      <c r="AR20" s="60">
        <f t="shared" si="4"/>
        <v>54.5</v>
      </c>
      <c r="AS20" s="343">
        <f t="shared" si="5"/>
        <v>-0.5</v>
      </c>
      <c r="AT20" s="355">
        <v>41.18333333333333</v>
      </c>
      <c r="AU20" s="356">
        <f t="shared" si="6"/>
        <v>8</v>
      </c>
      <c r="AV20" s="357">
        <f t="shared" si="7"/>
        <v>17.333333333333332</v>
      </c>
      <c r="AW20" s="358">
        <f t="shared" si="8"/>
        <v>0</v>
      </c>
      <c r="AX20" s="356">
        <f t="shared" si="9"/>
        <v>15.849999999999998</v>
      </c>
      <c r="AY20" s="359">
        <f t="shared" si="11"/>
        <v>0.33542976939203356</v>
      </c>
      <c r="AZ20" s="360">
        <f t="shared" si="10"/>
        <v>0.66457023060796638</v>
      </c>
      <c r="BA20" s="287">
        <v>2764523</v>
      </c>
      <c r="BB20" s="287">
        <f t="shared" si="12"/>
        <v>51194.870370370372</v>
      </c>
    </row>
    <row r="21" spans="1:54" ht="15.75" thickBot="1" x14ac:dyDescent="0.3">
      <c r="A21" s="17" t="s">
        <v>340</v>
      </c>
      <c r="B21" s="17" t="s">
        <v>341</v>
      </c>
      <c r="C21" s="18" t="s">
        <v>98</v>
      </c>
      <c r="D21" s="18"/>
      <c r="E21" s="18"/>
      <c r="F21" s="18"/>
      <c r="G21" s="19"/>
      <c r="H21" s="19"/>
      <c r="I21" s="20"/>
      <c r="J21" s="20"/>
      <c r="K21" s="20"/>
      <c r="L21" s="72">
        <v>15</v>
      </c>
      <c r="M21" s="22">
        <v>6</v>
      </c>
      <c r="N21" s="22"/>
      <c r="O21" s="22"/>
      <c r="P21" s="22">
        <v>4</v>
      </c>
      <c r="Q21" s="22"/>
      <c r="R21" s="23" t="str">
        <f>IF(G21="x",1,"")</f>
        <v/>
      </c>
      <c r="S21" s="24">
        <f t="shared" si="0"/>
        <v>10</v>
      </c>
      <c r="T21" s="25">
        <f>IF($C21="",0,VLOOKUP($C21,[2]Hoja1!$C$11:$D$27,2,FALSE)*M21)+IF($D21="",0,VLOOKUP($D21,[2]Hoja1!$C$11:$D$27,2,FALSE)*N21)+IF($F21="",0,VLOOKUP($F21,[2]Hoja1!$C$11:$D$27,2,FALSE)*P21)+IF(R21="",0,R21*0.5)</f>
        <v>3</v>
      </c>
      <c r="U21" s="22" t="str">
        <f>IF(G21="x",4,"")</f>
        <v/>
      </c>
      <c r="V21" s="22" t="s">
        <v>291</v>
      </c>
      <c r="W21" s="26">
        <v>1.5</v>
      </c>
      <c r="X21" s="22"/>
      <c r="Y21" s="22"/>
      <c r="Z21" s="22"/>
      <c r="AA21" s="22"/>
      <c r="AB21" s="22"/>
      <c r="AC21" s="22"/>
      <c r="AD21" s="22"/>
      <c r="AE21" s="22"/>
      <c r="AF21" s="22"/>
      <c r="AG21" s="29"/>
      <c r="AH21" s="28">
        <f t="shared" si="1"/>
        <v>4.5</v>
      </c>
      <c r="AI21" s="22"/>
      <c r="AJ21" s="22"/>
      <c r="AK21" s="22"/>
      <c r="AL21" s="22"/>
      <c r="AM21" s="22"/>
      <c r="AN21" s="30">
        <f t="shared" si="2"/>
        <v>0</v>
      </c>
      <c r="AO21" s="39"/>
      <c r="AP21" s="39"/>
      <c r="AQ21" s="33">
        <f t="shared" si="3"/>
        <v>0</v>
      </c>
      <c r="AR21" s="60">
        <f t="shared" si="4"/>
        <v>14.5</v>
      </c>
      <c r="AS21" s="343">
        <f t="shared" si="5"/>
        <v>0.5</v>
      </c>
      <c r="AT21" s="361">
        <v>5.1333333333333337</v>
      </c>
      <c r="AU21" s="356">
        <f t="shared" si="6"/>
        <v>6.666666666666667</v>
      </c>
      <c r="AV21" s="357">
        <f t="shared" si="7"/>
        <v>0</v>
      </c>
      <c r="AW21" s="358">
        <f t="shared" si="8"/>
        <v>0</v>
      </c>
      <c r="AX21" s="356">
        <f t="shared" si="9"/>
        <v>-1.5333333333333332</v>
      </c>
      <c r="AY21" s="359"/>
      <c r="AZ21" s="360"/>
      <c r="BA21" s="287">
        <v>959000</v>
      </c>
      <c r="BB21" s="287">
        <f t="shared" si="12"/>
        <v>63933.333333333336</v>
      </c>
    </row>
    <row r="22" spans="1:54" ht="15.75" thickBot="1" x14ac:dyDescent="0.3">
      <c r="A22" s="17" t="s">
        <v>342</v>
      </c>
      <c r="B22" s="17" t="s">
        <v>343</v>
      </c>
      <c r="C22" s="18" t="s">
        <v>180</v>
      </c>
      <c r="D22" s="18"/>
      <c r="E22" s="18"/>
      <c r="F22" s="18"/>
      <c r="G22" s="19"/>
      <c r="H22" s="19"/>
      <c r="I22" s="20"/>
      <c r="J22" s="20"/>
      <c r="K22" s="20" t="s">
        <v>318</v>
      </c>
      <c r="L22" s="72">
        <v>22</v>
      </c>
      <c r="M22" s="22">
        <v>12</v>
      </c>
      <c r="N22" s="22"/>
      <c r="O22" s="22"/>
      <c r="P22" s="22"/>
      <c r="Q22" s="22"/>
      <c r="R22" s="23" t="str">
        <f>IF(G22="x",1,"")</f>
        <v/>
      </c>
      <c r="S22" s="24">
        <f t="shared" si="0"/>
        <v>12</v>
      </c>
      <c r="T22" s="25">
        <f>IF($C22="",0,VLOOKUP($C22,[2]Hoja1!$C$11:$D$27,2,FALSE)*M22)+IF($D22="",0,VLOOKUP($D22,[2]Hoja1!$C$11:$D$27,2,FALSE)*N22)+IF($F22="",0,VLOOKUP($F22,[2]Hoja1!$C$11:$D$27,2,FALSE)*P22)+IF(R22="",0,R22*0.5)</f>
        <v>3.5999999999999996</v>
      </c>
      <c r="U22" s="22" t="str">
        <f>IF(G22="x",4,"")</f>
        <v/>
      </c>
      <c r="V22" s="22" t="s">
        <v>291</v>
      </c>
      <c r="W22" s="26">
        <v>1.5</v>
      </c>
      <c r="X22" s="22"/>
      <c r="Y22" s="22">
        <v>2</v>
      </c>
      <c r="Z22" s="22"/>
      <c r="AA22" s="22"/>
      <c r="AB22" s="22"/>
      <c r="AC22" s="22"/>
      <c r="AD22" s="22"/>
      <c r="AE22" s="22"/>
      <c r="AF22" s="22">
        <v>3</v>
      </c>
      <c r="AG22" s="29" t="s">
        <v>292</v>
      </c>
      <c r="AH22" s="28">
        <f t="shared" si="1"/>
        <v>10.1</v>
      </c>
      <c r="AI22" s="22"/>
      <c r="AJ22" s="22"/>
      <c r="AK22" s="22"/>
      <c r="AL22" s="22"/>
      <c r="AM22" s="22"/>
      <c r="AN22" s="30">
        <f t="shared" si="2"/>
        <v>0</v>
      </c>
      <c r="AO22" s="39"/>
      <c r="AP22" s="39"/>
      <c r="AQ22" s="33">
        <f t="shared" si="3"/>
        <v>0</v>
      </c>
      <c r="AR22" s="60">
        <f t="shared" si="4"/>
        <v>22.1</v>
      </c>
      <c r="AS22" s="343">
        <f t="shared" si="5"/>
        <v>-0.10000000000000142</v>
      </c>
      <c r="AT22" s="355">
        <v>15.2</v>
      </c>
      <c r="AU22" s="356">
        <f t="shared" si="6"/>
        <v>8</v>
      </c>
      <c r="AV22" s="357">
        <f t="shared" si="7"/>
        <v>0</v>
      </c>
      <c r="AW22" s="358">
        <f t="shared" si="8"/>
        <v>0</v>
      </c>
      <c r="AX22" s="356">
        <f t="shared" si="9"/>
        <v>7.1999999999999993</v>
      </c>
      <c r="AY22" s="359">
        <f t="shared" si="11"/>
        <v>0.52631578947368418</v>
      </c>
      <c r="AZ22" s="360">
        <f t="shared" si="10"/>
        <v>0.47368421052631576</v>
      </c>
      <c r="BA22" s="287">
        <v>1702564</v>
      </c>
      <c r="BB22" s="287">
        <f t="shared" si="12"/>
        <v>77389.272727272721</v>
      </c>
    </row>
    <row r="23" spans="1:54" ht="15.75" thickBot="1" x14ac:dyDescent="0.3">
      <c r="A23" s="17" t="s">
        <v>344</v>
      </c>
      <c r="B23" s="17" t="s">
        <v>345</v>
      </c>
      <c r="C23" s="18" t="s">
        <v>64</v>
      </c>
      <c r="D23" s="18"/>
      <c r="E23" s="18"/>
      <c r="F23" s="18"/>
      <c r="G23" s="19" t="s">
        <v>57</v>
      </c>
      <c r="H23" s="19"/>
      <c r="I23" s="20"/>
      <c r="J23" s="20"/>
      <c r="K23" s="20"/>
      <c r="L23" s="72">
        <v>54</v>
      </c>
      <c r="M23" s="22">
        <v>22</v>
      </c>
      <c r="N23" s="22"/>
      <c r="O23" s="22"/>
      <c r="P23" s="22"/>
      <c r="Q23" s="22">
        <v>3</v>
      </c>
      <c r="R23" s="23">
        <f>IF(G23="x",1,"")</f>
        <v>1</v>
      </c>
      <c r="S23" s="24">
        <f t="shared" si="0"/>
        <v>26</v>
      </c>
      <c r="T23" s="25">
        <f>IF($C23="",0,VLOOKUP($C23,[2]Hoja1!$C$11:$D$27,2,FALSE)*M23)+IF($D23="",0,VLOOKUP($D23,[2]Hoja1!$C$11:$D$27,2,FALSE)*N23)+IF($F23="",0,VLOOKUP($F23,[2]Hoja1!$C$11:$D$27,2,FALSE)*P23)+IF(R23="",0,R23*0.5)</f>
        <v>11.5</v>
      </c>
      <c r="U23" s="22">
        <v>5</v>
      </c>
      <c r="V23" s="22">
        <v>0</v>
      </c>
      <c r="W23" s="26">
        <v>1.5</v>
      </c>
      <c r="X23" s="22"/>
      <c r="Y23" s="22"/>
      <c r="Z23" s="22"/>
      <c r="AA23" s="22"/>
      <c r="AB23" s="22"/>
      <c r="AC23" s="22">
        <v>2</v>
      </c>
      <c r="AD23" s="22">
        <v>1</v>
      </c>
      <c r="AE23" s="22"/>
      <c r="AF23" s="22">
        <v>3</v>
      </c>
      <c r="AG23" s="29" t="s">
        <v>346</v>
      </c>
      <c r="AH23" s="28">
        <f t="shared" si="1"/>
        <v>24</v>
      </c>
      <c r="AI23" s="22"/>
      <c r="AJ23" s="22"/>
      <c r="AK23" s="22"/>
      <c r="AL23" s="22"/>
      <c r="AM23" s="22"/>
      <c r="AN23" s="30">
        <f t="shared" si="2"/>
        <v>0</v>
      </c>
      <c r="AO23" s="39"/>
      <c r="AP23" s="39"/>
      <c r="AQ23" s="33">
        <f t="shared" si="3"/>
        <v>0</v>
      </c>
      <c r="AR23" s="60">
        <f t="shared" si="4"/>
        <v>50</v>
      </c>
      <c r="AS23" s="343">
        <f t="shared" si="5"/>
        <v>4</v>
      </c>
      <c r="AT23" s="355">
        <v>40.366666666666667</v>
      </c>
      <c r="AU23" s="356">
        <f t="shared" si="6"/>
        <v>17.333333333333332</v>
      </c>
      <c r="AV23" s="357">
        <f t="shared" si="7"/>
        <v>0</v>
      </c>
      <c r="AW23" s="358">
        <f t="shared" si="8"/>
        <v>0</v>
      </c>
      <c r="AX23" s="356">
        <f t="shared" si="9"/>
        <v>23.033333333333335</v>
      </c>
      <c r="AY23" s="359">
        <f t="shared" si="11"/>
        <v>0.42939719240297269</v>
      </c>
      <c r="AZ23" s="360">
        <f t="shared" si="10"/>
        <v>0.57060280759702731</v>
      </c>
      <c r="BA23" s="287">
        <v>2358115</v>
      </c>
      <c r="BB23" s="287">
        <f t="shared" si="12"/>
        <v>43668.796296296299</v>
      </c>
    </row>
    <row r="24" spans="1:54" ht="15.75" thickBot="1" x14ac:dyDescent="0.3">
      <c r="A24" s="17" t="s">
        <v>347</v>
      </c>
      <c r="B24" s="71" t="s">
        <v>348</v>
      </c>
      <c r="C24" s="61" t="s">
        <v>54</v>
      </c>
      <c r="D24" s="62"/>
      <c r="E24" s="62"/>
      <c r="F24" s="62"/>
      <c r="G24" s="63" t="s">
        <v>57</v>
      </c>
      <c r="H24" s="63"/>
      <c r="I24" s="64" t="s">
        <v>57</v>
      </c>
      <c r="J24" s="74" t="s">
        <v>155</v>
      </c>
      <c r="K24" s="64" t="s">
        <v>349</v>
      </c>
      <c r="L24" s="65">
        <v>54</v>
      </c>
      <c r="M24" s="66">
        <v>6</v>
      </c>
      <c r="N24" s="67"/>
      <c r="O24" s="67"/>
      <c r="P24" s="67">
        <v>7</v>
      </c>
      <c r="Q24" s="67"/>
      <c r="R24" s="67">
        <v>1</v>
      </c>
      <c r="S24" s="24">
        <f t="shared" si="0"/>
        <v>14</v>
      </c>
      <c r="T24" s="25">
        <f>IF($C24="",0,VLOOKUP($C24,[2]Hoja1!$C$11:$D$27,2,FALSE)*M24)+IF($D24="",0,VLOOKUP($D24,[2]Hoja1!$C$11:$D$27,2,FALSE)*N24)+IF($F24="",0,VLOOKUP($F24,[2]Hoja1!$C$11:$D$27,2,FALSE)*P24)+IF(R24="",0,R24*0.5)</f>
        <v>3.5</v>
      </c>
      <c r="U24" s="22">
        <f t="shared" ref="U24:U29" si="15">IF(G24="x",4,"")</f>
        <v>4</v>
      </c>
      <c r="V24" s="67">
        <v>4</v>
      </c>
      <c r="W24" s="68">
        <v>1.5</v>
      </c>
      <c r="X24" s="67"/>
      <c r="Y24" s="67"/>
      <c r="Z24" s="67"/>
      <c r="AA24" s="67"/>
      <c r="AB24" s="67">
        <v>3</v>
      </c>
      <c r="AC24" s="67">
        <v>1</v>
      </c>
      <c r="AD24" s="67">
        <v>0.5</v>
      </c>
      <c r="AE24" s="67"/>
      <c r="AF24" s="67">
        <v>1</v>
      </c>
      <c r="AG24" s="69" t="s">
        <v>297</v>
      </c>
      <c r="AH24" s="28">
        <f t="shared" si="1"/>
        <v>18.5</v>
      </c>
      <c r="AI24" s="330">
        <v>15</v>
      </c>
      <c r="AJ24" s="331"/>
      <c r="AK24" s="67"/>
      <c r="AL24" s="67"/>
      <c r="AM24" s="67"/>
      <c r="AN24" s="30">
        <f t="shared" si="2"/>
        <v>15</v>
      </c>
      <c r="AO24" s="70"/>
      <c r="AP24" s="70"/>
      <c r="AQ24" s="33">
        <f t="shared" si="3"/>
        <v>0</v>
      </c>
      <c r="AR24" s="60">
        <f t="shared" si="4"/>
        <v>47.5</v>
      </c>
      <c r="AS24" s="343">
        <f t="shared" si="5"/>
        <v>6.5</v>
      </c>
      <c r="AT24" s="355">
        <v>40.266666666666666</v>
      </c>
      <c r="AU24" s="356">
        <f t="shared" si="6"/>
        <v>11.333333333333334</v>
      </c>
      <c r="AV24" s="357">
        <f t="shared" si="7"/>
        <v>10</v>
      </c>
      <c r="AW24" s="358">
        <f t="shared" si="8"/>
        <v>0</v>
      </c>
      <c r="AX24" s="356">
        <f t="shared" si="9"/>
        <v>18.93333333333333</v>
      </c>
      <c r="AY24" s="359">
        <f t="shared" si="11"/>
        <v>0.37444933920704848</v>
      </c>
      <c r="AZ24" s="360">
        <f t="shared" si="10"/>
        <v>0.62555066079295141</v>
      </c>
      <c r="BA24" s="287">
        <v>3275693</v>
      </c>
      <c r="BB24" s="287">
        <f t="shared" si="12"/>
        <v>60660.981481481482</v>
      </c>
    </row>
    <row r="25" spans="1:54" ht="15.75" thickBot="1" x14ac:dyDescent="0.3">
      <c r="A25" s="17" t="s">
        <v>350</v>
      </c>
      <c r="B25" s="17" t="s">
        <v>351</v>
      </c>
      <c r="C25" s="18" t="s">
        <v>64</v>
      </c>
      <c r="D25" s="18"/>
      <c r="E25" s="18"/>
      <c r="F25" s="18"/>
      <c r="G25" s="19"/>
      <c r="H25" s="19"/>
      <c r="I25" s="20"/>
      <c r="J25" s="20"/>
      <c r="K25" s="20"/>
      <c r="L25" s="72">
        <v>24</v>
      </c>
      <c r="M25" s="22">
        <v>12</v>
      </c>
      <c r="N25" s="22"/>
      <c r="O25" s="22"/>
      <c r="P25" s="22"/>
      <c r="Q25" s="22"/>
      <c r="R25" s="23" t="str">
        <f>IF(G25="x",1,"")</f>
        <v/>
      </c>
      <c r="S25" s="24">
        <f t="shared" si="0"/>
        <v>12</v>
      </c>
      <c r="T25" s="25">
        <f>IF($C25="",0,VLOOKUP($C25,[2]Hoja1!$C$11:$D$27,2,FALSE)*M25)+IF($D25="",0,VLOOKUP($D25,[2]Hoja1!$C$11:$D$27,2,FALSE)*N25)+IF($F25="",0,VLOOKUP($F25,[2]Hoja1!$C$11:$D$27,2,FALSE)*P25)+IF(R25="",0,R25*0.5)</f>
        <v>6</v>
      </c>
      <c r="U25" s="22" t="str">
        <f t="shared" si="15"/>
        <v/>
      </c>
      <c r="V25" s="22">
        <v>0</v>
      </c>
      <c r="W25" s="26">
        <v>1.5</v>
      </c>
      <c r="X25" s="22"/>
      <c r="Y25" s="22"/>
      <c r="Z25" s="22"/>
      <c r="AA25" s="22"/>
      <c r="AB25" s="22"/>
      <c r="AC25" s="22"/>
      <c r="AD25" s="22"/>
      <c r="AE25" s="22"/>
      <c r="AF25" s="22">
        <v>1</v>
      </c>
      <c r="AG25" s="29" t="s">
        <v>297</v>
      </c>
      <c r="AH25" s="28">
        <f t="shared" si="1"/>
        <v>8.5</v>
      </c>
      <c r="AI25" s="22"/>
      <c r="AJ25" s="22"/>
      <c r="AK25" s="22"/>
      <c r="AL25" s="22"/>
      <c r="AM25" s="22"/>
      <c r="AN25" s="30">
        <f t="shared" si="2"/>
        <v>0</v>
      </c>
      <c r="AO25" s="39"/>
      <c r="AP25" s="39"/>
      <c r="AQ25" s="33">
        <f t="shared" si="3"/>
        <v>0</v>
      </c>
      <c r="AR25" s="60">
        <f t="shared" si="4"/>
        <v>20.5</v>
      </c>
      <c r="AS25" s="343">
        <f t="shared" si="5"/>
        <v>3.5</v>
      </c>
      <c r="AT25" s="361">
        <v>8.1999999999999993</v>
      </c>
      <c r="AU25" s="356">
        <f t="shared" si="6"/>
        <v>8</v>
      </c>
      <c r="AV25" s="357">
        <f t="shared" si="7"/>
        <v>0</v>
      </c>
      <c r="AW25" s="358">
        <f t="shared" si="8"/>
        <v>0</v>
      </c>
      <c r="AX25" s="356">
        <f t="shared" si="9"/>
        <v>0.19999999999999929</v>
      </c>
      <c r="AY25" s="378">
        <f t="shared" si="11"/>
        <v>0.97560975609756106</v>
      </c>
      <c r="AZ25" s="379">
        <f t="shared" si="10"/>
        <v>2.4390243902438939E-2</v>
      </c>
      <c r="BA25" s="287">
        <v>1455206</v>
      </c>
      <c r="BB25" s="287">
        <f t="shared" si="12"/>
        <v>60633.583333333336</v>
      </c>
    </row>
    <row r="26" spans="1:54" ht="15.75" thickBot="1" x14ac:dyDescent="0.3">
      <c r="A26" s="17" t="s">
        <v>352</v>
      </c>
      <c r="B26" s="17" t="s">
        <v>353</v>
      </c>
      <c r="C26" s="18" t="s">
        <v>61</v>
      </c>
      <c r="D26" s="18"/>
      <c r="E26" s="18"/>
      <c r="F26" s="18"/>
      <c r="G26" s="19" t="s">
        <v>57</v>
      </c>
      <c r="H26" s="19"/>
      <c r="I26" s="20"/>
      <c r="J26" s="20"/>
      <c r="K26" s="20" t="s">
        <v>318</v>
      </c>
      <c r="L26" s="72">
        <v>54</v>
      </c>
      <c r="M26" s="22">
        <v>22</v>
      </c>
      <c r="N26" s="22"/>
      <c r="O26" s="22"/>
      <c r="P26" s="22"/>
      <c r="Q26" s="22"/>
      <c r="R26" s="23">
        <f>IF(G26="x",1,"")</f>
        <v>1</v>
      </c>
      <c r="S26" s="24">
        <f t="shared" si="0"/>
        <v>23</v>
      </c>
      <c r="T26" s="25">
        <f>IF($C26="",0,VLOOKUP($C26,[2]Hoja1!$C$11:$D$27,2,FALSE)*M26)+IF($D26="",0,VLOOKUP($D26,[2]Hoja1!$C$11:$D$27,2,FALSE)*N26)+IF($F26="",0,VLOOKUP($F26,[2]Hoja1!$C$11:$D$27,2,FALSE)*P26)+IF(R26="",0,R26*0.5)</f>
        <v>11.5</v>
      </c>
      <c r="U26" s="22">
        <f t="shared" si="15"/>
        <v>4</v>
      </c>
      <c r="V26" s="22">
        <v>4</v>
      </c>
      <c r="W26" s="26">
        <v>1.5</v>
      </c>
      <c r="X26" s="22"/>
      <c r="Y26" s="22"/>
      <c r="Z26" s="22"/>
      <c r="AA26" s="22"/>
      <c r="AB26" s="22">
        <v>2</v>
      </c>
      <c r="AC26" s="22">
        <v>1</v>
      </c>
      <c r="AD26" s="22">
        <v>0.5</v>
      </c>
      <c r="AE26" s="22"/>
      <c r="AF26" s="22">
        <v>1</v>
      </c>
      <c r="AG26" s="29" t="s">
        <v>297</v>
      </c>
      <c r="AH26" s="28">
        <f t="shared" si="1"/>
        <v>25.5</v>
      </c>
      <c r="AI26" s="22"/>
      <c r="AJ26" s="22"/>
      <c r="AK26" s="22"/>
      <c r="AL26" s="22"/>
      <c r="AM26" s="22"/>
      <c r="AN26" s="30">
        <f t="shared" si="2"/>
        <v>0</v>
      </c>
      <c r="AO26" s="39"/>
      <c r="AP26" s="39"/>
      <c r="AQ26" s="33">
        <f t="shared" si="3"/>
        <v>0</v>
      </c>
      <c r="AR26" s="60">
        <f t="shared" si="4"/>
        <v>48.5</v>
      </c>
      <c r="AS26" s="343">
        <f t="shared" si="5"/>
        <v>5.5</v>
      </c>
      <c r="AT26" s="355">
        <v>40.266666666666666</v>
      </c>
      <c r="AU26" s="356">
        <f t="shared" si="6"/>
        <v>16.666666666666668</v>
      </c>
      <c r="AV26" s="357">
        <f t="shared" si="7"/>
        <v>0</v>
      </c>
      <c r="AW26" s="358">
        <f t="shared" si="8"/>
        <v>0</v>
      </c>
      <c r="AX26" s="356">
        <f t="shared" si="9"/>
        <v>23.599999999999998</v>
      </c>
      <c r="AY26" s="359">
        <f t="shared" si="11"/>
        <v>0.41390728476821198</v>
      </c>
      <c r="AZ26" s="360">
        <f t="shared" si="10"/>
        <v>0.58609271523178808</v>
      </c>
      <c r="BA26" s="287">
        <v>2427994</v>
      </c>
      <c r="BB26" s="287">
        <f t="shared" si="12"/>
        <v>44962.851851851854</v>
      </c>
    </row>
    <row r="27" spans="1:54" ht="15.75" thickBot="1" x14ac:dyDescent="0.3">
      <c r="A27" s="17" t="s">
        <v>354</v>
      </c>
      <c r="B27" s="17" t="s">
        <v>355</v>
      </c>
      <c r="C27" s="18" t="s">
        <v>61</v>
      </c>
      <c r="D27" s="18"/>
      <c r="E27" s="18"/>
      <c r="F27" s="18"/>
      <c r="G27" s="19" t="s">
        <v>57</v>
      </c>
      <c r="H27" s="19" t="s">
        <v>57</v>
      </c>
      <c r="I27" s="20"/>
      <c r="J27" s="20"/>
      <c r="K27" s="20" t="s">
        <v>318</v>
      </c>
      <c r="L27" s="72">
        <v>54</v>
      </c>
      <c r="M27" s="22">
        <v>15</v>
      </c>
      <c r="N27" s="22"/>
      <c r="O27" s="22"/>
      <c r="P27" s="22"/>
      <c r="Q27" s="22"/>
      <c r="R27" s="23">
        <f>IF(G27="x",1,"")</f>
        <v>1</v>
      </c>
      <c r="S27" s="24">
        <f t="shared" si="0"/>
        <v>16</v>
      </c>
      <c r="T27" s="25">
        <f>IF($C27="",0,VLOOKUP($C27,[2]Hoja1!$C$11:$D$27,2,FALSE)*M27)+IF($D27="",0,VLOOKUP($D27,[2]Hoja1!$C$11:$D$27,2,FALSE)*N27)+IF($F27="",0,VLOOKUP($F27,[2]Hoja1!$C$11:$D$27,2,FALSE)*P27)+IF(R27="",0,R27*0.5)</f>
        <v>8</v>
      </c>
      <c r="U27" s="22">
        <f t="shared" si="15"/>
        <v>4</v>
      </c>
      <c r="V27" s="22">
        <v>4</v>
      </c>
      <c r="W27" s="26">
        <v>1.5</v>
      </c>
      <c r="X27" s="22"/>
      <c r="Y27" s="22"/>
      <c r="Z27" s="22"/>
      <c r="AA27" s="22"/>
      <c r="AB27" s="22">
        <v>2</v>
      </c>
      <c r="AC27" s="22">
        <v>1</v>
      </c>
      <c r="AD27" s="22">
        <v>0.5</v>
      </c>
      <c r="AE27" s="22"/>
      <c r="AF27" s="22">
        <v>1</v>
      </c>
      <c r="AG27" s="29" t="s">
        <v>297</v>
      </c>
      <c r="AH27" s="28">
        <f t="shared" si="1"/>
        <v>22</v>
      </c>
      <c r="AI27" s="22"/>
      <c r="AJ27" s="22">
        <v>12</v>
      </c>
      <c r="AK27" s="22"/>
      <c r="AL27" s="22"/>
      <c r="AM27" s="22"/>
      <c r="AN27" s="30">
        <f t="shared" si="2"/>
        <v>12</v>
      </c>
      <c r="AO27" s="39"/>
      <c r="AP27" s="39"/>
      <c r="AQ27" s="33">
        <f t="shared" si="3"/>
        <v>0</v>
      </c>
      <c r="AR27" s="60">
        <f t="shared" si="4"/>
        <v>50</v>
      </c>
      <c r="AS27" s="343">
        <f t="shared" si="5"/>
        <v>4</v>
      </c>
      <c r="AT27" s="355">
        <v>40.166666666666664</v>
      </c>
      <c r="AU27" s="356">
        <f t="shared" si="6"/>
        <v>12</v>
      </c>
      <c r="AV27" s="357">
        <f t="shared" si="7"/>
        <v>8</v>
      </c>
      <c r="AW27" s="358">
        <f t="shared" si="8"/>
        <v>0</v>
      </c>
      <c r="AX27" s="356">
        <f t="shared" si="9"/>
        <v>20.166666666666664</v>
      </c>
      <c r="AY27" s="359">
        <f t="shared" si="11"/>
        <v>0.3730569948186529</v>
      </c>
      <c r="AZ27" s="360">
        <f t="shared" si="10"/>
        <v>0.62694300518134716</v>
      </c>
      <c r="BA27" s="287">
        <v>3072053</v>
      </c>
      <c r="BB27" s="287">
        <f t="shared" si="12"/>
        <v>56889.870370370372</v>
      </c>
    </row>
    <row r="28" spans="1:54" ht="15.75" thickBot="1" x14ac:dyDescent="0.3">
      <c r="A28" s="17" t="s">
        <v>356</v>
      </c>
      <c r="B28" s="17" t="s">
        <v>357</v>
      </c>
      <c r="C28" s="61" t="s">
        <v>109</v>
      </c>
      <c r="D28" s="62"/>
      <c r="E28" s="62"/>
      <c r="F28" s="62"/>
      <c r="G28" s="63" t="s">
        <v>57</v>
      </c>
      <c r="H28" s="63"/>
      <c r="I28" s="64"/>
      <c r="J28" s="64"/>
      <c r="K28" s="64" t="s">
        <v>349</v>
      </c>
      <c r="L28" s="65">
        <v>54</v>
      </c>
      <c r="M28" s="66">
        <v>20</v>
      </c>
      <c r="N28" s="67"/>
      <c r="O28" s="67"/>
      <c r="P28" s="67"/>
      <c r="Q28" s="67"/>
      <c r="R28" s="67">
        <v>1</v>
      </c>
      <c r="S28" s="24">
        <f t="shared" si="0"/>
        <v>21</v>
      </c>
      <c r="T28" s="25">
        <f>IF($C28="",0,VLOOKUP($C28,[2]Hoja1!$C$11:$D$27,2,FALSE)*M28)+IF($D28="",0,VLOOKUP($D28,[2]Hoja1!$C$11:$D$27,2,FALSE)*N28)+IF($F28="",0,VLOOKUP($F28,[2]Hoja1!$C$11:$D$27,2,FALSE)*P28)+IF(R28="",0,R28*0.5)</f>
        <v>10.5</v>
      </c>
      <c r="U28" s="22">
        <f t="shared" si="15"/>
        <v>4</v>
      </c>
      <c r="V28" s="67">
        <v>4</v>
      </c>
      <c r="W28" s="68">
        <v>1.5</v>
      </c>
      <c r="X28" s="67"/>
      <c r="Y28" s="67"/>
      <c r="Z28" s="67"/>
      <c r="AA28" s="67"/>
      <c r="AB28" s="67">
        <v>3</v>
      </c>
      <c r="AC28" s="67">
        <v>1</v>
      </c>
      <c r="AD28" s="67">
        <v>0.5</v>
      </c>
      <c r="AE28" s="67"/>
      <c r="AF28" s="67">
        <v>3</v>
      </c>
      <c r="AG28" s="69" t="s">
        <v>321</v>
      </c>
      <c r="AH28" s="28">
        <f t="shared" si="1"/>
        <v>27.5</v>
      </c>
      <c r="AI28" s="66"/>
      <c r="AJ28" s="67"/>
      <c r="AK28" s="67"/>
      <c r="AL28" s="67"/>
      <c r="AM28" s="67"/>
      <c r="AN28" s="30">
        <f t="shared" si="2"/>
        <v>0</v>
      </c>
      <c r="AO28" s="70"/>
      <c r="AP28" s="70"/>
      <c r="AQ28" s="33">
        <f t="shared" si="3"/>
        <v>0</v>
      </c>
      <c r="AR28" s="60">
        <f t="shared" si="4"/>
        <v>48.5</v>
      </c>
      <c r="AS28" s="343">
        <f t="shared" si="5"/>
        <v>5.5</v>
      </c>
      <c r="AT28" s="355">
        <v>40.216666666666669</v>
      </c>
      <c r="AU28" s="356">
        <f t="shared" si="6"/>
        <v>16</v>
      </c>
      <c r="AV28" s="357">
        <f t="shared" si="7"/>
        <v>0</v>
      </c>
      <c r="AW28" s="358">
        <f t="shared" si="8"/>
        <v>0</v>
      </c>
      <c r="AX28" s="356">
        <f t="shared" si="9"/>
        <v>24.216666666666669</v>
      </c>
      <c r="AY28" s="359">
        <f t="shared" si="11"/>
        <v>0.39784500621632818</v>
      </c>
      <c r="AZ28" s="360">
        <f t="shared" si="10"/>
        <v>0.60215499378367177</v>
      </c>
      <c r="BA28" s="287">
        <v>3145708</v>
      </c>
      <c r="BB28" s="287">
        <f t="shared" si="12"/>
        <v>58253.851851851854</v>
      </c>
    </row>
    <row r="29" spans="1:54" ht="15.75" thickBot="1" x14ac:dyDescent="0.3">
      <c r="A29" s="17" t="s">
        <v>358</v>
      </c>
      <c r="B29" s="17" t="s">
        <v>359</v>
      </c>
      <c r="C29" s="18" t="s">
        <v>126</v>
      </c>
      <c r="D29" s="18"/>
      <c r="E29" s="18"/>
      <c r="F29" s="18" t="s">
        <v>295</v>
      </c>
      <c r="G29" s="19" t="s">
        <v>57</v>
      </c>
      <c r="H29" s="19"/>
      <c r="I29" s="20"/>
      <c r="J29" s="20"/>
      <c r="K29" s="20" t="s">
        <v>309</v>
      </c>
      <c r="L29" s="72">
        <v>55</v>
      </c>
      <c r="M29" s="22">
        <v>20</v>
      </c>
      <c r="N29" s="22"/>
      <c r="O29" s="22"/>
      <c r="P29" s="22">
        <v>2</v>
      </c>
      <c r="Q29" s="22"/>
      <c r="R29" s="23">
        <v>2</v>
      </c>
      <c r="S29" s="24">
        <f t="shared" si="0"/>
        <v>24</v>
      </c>
      <c r="T29" s="25">
        <f>IF($C29="",0,VLOOKUP($C29,[2]Hoja1!$C$11:$D$27,2,FALSE)*M29)+IF($D29="",0,VLOOKUP($D29,[2]Hoja1!$C$11:$D$27,2,FALSE)*N29)+IF($F29="",0,VLOOKUP($F29,[2]Hoja1!$C$11:$D$27,2,FALSE)*P29)+IF(R29="",0,R29*0.5)</f>
        <v>8</v>
      </c>
      <c r="U29" s="22">
        <f t="shared" si="15"/>
        <v>4</v>
      </c>
      <c r="V29" s="22">
        <v>4</v>
      </c>
      <c r="W29" s="26">
        <v>1.5</v>
      </c>
      <c r="X29" s="22"/>
      <c r="Y29" s="22">
        <v>10</v>
      </c>
      <c r="Z29" s="22"/>
      <c r="AA29" s="22"/>
      <c r="AB29" s="22">
        <v>2</v>
      </c>
      <c r="AC29" s="22">
        <v>1</v>
      </c>
      <c r="AD29" s="22">
        <v>0.5</v>
      </c>
      <c r="AE29" s="22"/>
      <c r="AF29" s="22">
        <v>8</v>
      </c>
      <c r="AG29" s="29" t="s">
        <v>313</v>
      </c>
      <c r="AH29" s="28">
        <f t="shared" si="1"/>
        <v>39</v>
      </c>
      <c r="AI29" s="22"/>
      <c r="AJ29" s="22"/>
      <c r="AK29" s="22"/>
      <c r="AL29" s="22"/>
      <c r="AM29" s="22"/>
      <c r="AN29" s="30">
        <f t="shared" si="2"/>
        <v>0</v>
      </c>
      <c r="AO29" s="39"/>
      <c r="AP29" s="39"/>
      <c r="AQ29" s="33">
        <f t="shared" si="3"/>
        <v>0</v>
      </c>
      <c r="AR29" s="60">
        <f t="shared" si="4"/>
        <v>63</v>
      </c>
      <c r="AS29" s="343">
        <f t="shared" si="5"/>
        <v>-8</v>
      </c>
      <c r="AT29" s="355">
        <v>40.366666666666667</v>
      </c>
      <c r="AU29" s="356">
        <f t="shared" si="6"/>
        <v>17.333333333333332</v>
      </c>
      <c r="AV29" s="357">
        <f t="shared" si="7"/>
        <v>0</v>
      </c>
      <c r="AW29" s="358">
        <f t="shared" si="8"/>
        <v>0</v>
      </c>
      <c r="AX29" s="356">
        <f t="shared" si="9"/>
        <v>23.033333333333335</v>
      </c>
      <c r="AY29" s="359">
        <f t="shared" si="11"/>
        <v>0.42939719240297269</v>
      </c>
      <c r="AZ29" s="360">
        <f t="shared" si="10"/>
        <v>0.57060280759702731</v>
      </c>
      <c r="BA29" s="287">
        <v>3913063</v>
      </c>
      <c r="BB29" s="287">
        <f t="shared" si="12"/>
        <v>71146.600000000006</v>
      </c>
    </row>
    <row r="30" spans="1:54" ht="15.75" thickBot="1" x14ac:dyDescent="0.3">
      <c r="A30" s="17" t="s">
        <v>360</v>
      </c>
      <c r="B30" s="17" t="s">
        <v>361</v>
      </c>
      <c r="C30" s="18" t="s">
        <v>64</v>
      </c>
      <c r="D30" s="18"/>
      <c r="E30" s="18"/>
      <c r="F30" s="18"/>
      <c r="G30" s="19" t="s">
        <v>57</v>
      </c>
      <c r="H30" s="19"/>
      <c r="I30" s="20"/>
      <c r="J30" s="20"/>
      <c r="K30" s="20"/>
      <c r="L30" s="72">
        <v>54</v>
      </c>
      <c r="M30" s="22">
        <v>21</v>
      </c>
      <c r="N30" s="22"/>
      <c r="O30" s="22"/>
      <c r="P30" s="22"/>
      <c r="Q30" s="22">
        <v>2</v>
      </c>
      <c r="R30" s="23">
        <v>2</v>
      </c>
      <c r="S30" s="24">
        <f t="shared" si="0"/>
        <v>25</v>
      </c>
      <c r="T30" s="25">
        <f>IF($C30="",0,VLOOKUP($C30,[2]Hoja1!$C$11:$D$27,2,FALSE)*M30)+IF($D30="",0,VLOOKUP($D30,[2]Hoja1!$C$11:$D$27,2,FALSE)*N30)+IF($F30="",0,VLOOKUP($F30,[2]Hoja1!$C$11:$D$27,2,FALSE)*P30)+IF(R30="",0,R30*0.5)</f>
        <v>11.5</v>
      </c>
      <c r="U30" s="22">
        <v>5</v>
      </c>
      <c r="V30" s="22">
        <v>0</v>
      </c>
      <c r="W30" s="26">
        <v>1.5</v>
      </c>
      <c r="X30" s="22"/>
      <c r="Y30" s="22"/>
      <c r="Z30" s="22"/>
      <c r="AA30" s="22"/>
      <c r="AB30" s="22"/>
      <c r="AC30" s="22">
        <v>2</v>
      </c>
      <c r="AD30" s="22">
        <v>1</v>
      </c>
      <c r="AE30" s="22"/>
      <c r="AF30" s="22">
        <v>3</v>
      </c>
      <c r="AG30" s="29" t="s">
        <v>346</v>
      </c>
      <c r="AH30" s="28">
        <f t="shared" si="1"/>
        <v>24</v>
      </c>
      <c r="AI30" s="22"/>
      <c r="AJ30" s="22"/>
      <c r="AK30" s="22"/>
      <c r="AL30" s="22"/>
      <c r="AM30" s="22"/>
      <c r="AN30" s="30">
        <f t="shared" si="2"/>
        <v>0</v>
      </c>
      <c r="AO30" s="39"/>
      <c r="AP30" s="39"/>
      <c r="AQ30" s="33">
        <f t="shared" si="3"/>
        <v>0</v>
      </c>
      <c r="AR30" s="60">
        <f t="shared" si="4"/>
        <v>49</v>
      </c>
      <c r="AS30" s="343">
        <f t="shared" si="5"/>
        <v>5</v>
      </c>
      <c r="AT30" s="355">
        <v>40.366666666666667</v>
      </c>
      <c r="AU30" s="356">
        <f t="shared" si="6"/>
        <v>16.666666666666668</v>
      </c>
      <c r="AV30" s="357">
        <f t="shared" si="7"/>
        <v>0</v>
      </c>
      <c r="AW30" s="358">
        <f t="shared" si="8"/>
        <v>0</v>
      </c>
      <c r="AX30" s="356">
        <f t="shared" si="9"/>
        <v>23.7</v>
      </c>
      <c r="AY30" s="359">
        <f t="shared" si="11"/>
        <v>0.41288191577208921</v>
      </c>
      <c r="AZ30" s="360">
        <f t="shared" si="10"/>
        <v>0.58711808422791079</v>
      </c>
      <c r="BA30" s="287">
        <v>2626336</v>
      </c>
      <c r="BB30" s="287">
        <f t="shared" si="12"/>
        <v>48635.851851851854</v>
      </c>
    </row>
    <row r="31" spans="1:54" ht="15.75" thickBot="1" x14ac:dyDescent="0.3">
      <c r="A31" s="17" t="s">
        <v>362</v>
      </c>
      <c r="B31" s="17" t="s">
        <v>363</v>
      </c>
      <c r="C31" s="18" t="s">
        <v>180</v>
      </c>
      <c r="D31" s="19" t="s">
        <v>64</v>
      </c>
      <c r="E31" s="19"/>
      <c r="F31" s="18"/>
      <c r="G31" s="19" t="s">
        <v>57</v>
      </c>
      <c r="H31" s="19"/>
      <c r="I31" s="20"/>
      <c r="J31" s="20"/>
      <c r="K31" s="20"/>
      <c r="L31" s="72">
        <v>54</v>
      </c>
      <c r="M31" s="22">
        <v>21</v>
      </c>
      <c r="N31" s="22"/>
      <c r="O31" s="22"/>
      <c r="P31" s="22"/>
      <c r="Q31" s="22"/>
      <c r="R31" s="23">
        <f>IF(G31="x",1,"")</f>
        <v>1</v>
      </c>
      <c r="S31" s="24">
        <f t="shared" si="0"/>
        <v>22</v>
      </c>
      <c r="T31" s="25">
        <f>IF($C31="",0,VLOOKUP($C31,[2]Hoja1!$C$11:$D$27,2,FALSE)*M31)+IF($D31="",0,VLOOKUP($D31,[2]Hoja1!$C$11:$D$27,2,FALSE)*N31)+IF($F31="",0,VLOOKUP($F31,[2]Hoja1!$C$11:$D$27,2,FALSE)*P31)+IF(R31="",0,R31*0.5)</f>
        <v>6.8</v>
      </c>
      <c r="U31" s="22">
        <f>IF(G31="x",4,"")</f>
        <v>4</v>
      </c>
      <c r="V31" s="22">
        <v>4</v>
      </c>
      <c r="W31" s="26">
        <v>1.5</v>
      </c>
      <c r="X31" s="22">
        <v>2</v>
      </c>
      <c r="Y31" s="22"/>
      <c r="Z31" s="22"/>
      <c r="AA31" s="22"/>
      <c r="AB31" s="22"/>
      <c r="AC31" s="22">
        <v>2</v>
      </c>
      <c r="AD31" s="22">
        <v>1</v>
      </c>
      <c r="AE31" s="22"/>
      <c r="AF31" s="22">
        <v>5</v>
      </c>
      <c r="AG31" s="29" t="s">
        <v>364</v>
      </c>
      <c r="AH31" s="28">
        <f t="shared" si="1"/>
        <v>26.3</v>
      </c>
      <c r="AI31" s="22"/>
      <c r="AJ31" s="22"/>
      <c r="AK31" s="22"/>
      <c r="AL31" s="22"/>
      <c r="AM31" s="22"/>
      <c r="AN31" s="30">
        <f t="shared" si="2"/>
        <v>0</v>
      </c>
      <c r="AO31" s="39"/>
      <c r="AP31" s="39"/>
      <c r="AQ31" s="33">
        <f t="shared" si="3"/>
        <v>0</v>
      </c>
      <c r="AR31" s="60">
        <f t="shared" si="4"/>
        <v>48.3</v>
      </c>
      <c r="AS31" s="343">
        <f t="shared" si="5"/>
        <v>5.7000000000000028</v>
      </c>
      <c r="AT31" s="355">
        <v>40.366666666666667</v>
      </c>
      <c r="AU31" s="356">
        <f t="shared" si="6"/>
        <v>14.666666666666666</v>
      </c>
      <c r="AV31" s="357">
        <f t="shared" si="7"/>
        <v>0</v>
      </c>
      <c r="AW31" s="358">
        <f t="shared" si="8"/>
        <v>0</v>
      </c>
      <c r="AX31" s="356">
        <f t="shared" si="9"/>
        <v>25.700000000000003</v>
      </c>
      <c r="AY31" s="359">
        <f t="shared" si="11"/>
        <v>0.36333608587943844</v>
      </c>
      <c r="AZ31" s="360">
        <f t="shared" si="10"/>
        <v>0.63666391412056156</v>
      </c>
      <c r="BA31" s="287">
        <v>2634955</v>
      </c>
      <c r="BB31" s="287">
        <f t="shared" si="12"/>
        <v>48795.462962962964</v>
      </c>
    </row>
    <row r="32" spans="1:54" ht="15.75" thickBot="1" x14ac:dyDescent="0.3">
      <c r="A32" s="17" t="s">
        <v>365</v>
      </c>
      <c r="B32" s="17" t="s">
        <v>366</v>
      </c>
      <c r="C32" s="18" t="s">
        <v>55</v>
      </c>
      <c r="D32" s="19" t="s">
        <v>64</v>
      </c>
      <c r="E32" s="19"/>
      <c r="F32" s="18"/>
      <c r="G32" s="19" t="s">
        <v>57</v>
      </c>
      <c r="H32" s="19"/>
      <c r="I32" s="20"/>
      <c r="J32" s="20"/>
      <c r="K32" s="20"/>
      <c r="L32" s="72">
        <v>54</v>
      </c>
      <c r="M32" s="22">
        <v>13</v>
      </c>
      <c r="N32" s="22"/>
      <c r="O32" s="22"/>
      <c r="P32" s="22"/>
      <c r="Q32" s="22"/>
      <c r="R32" s="23">
        <f>IF(G32="x",1,"")</f>
        <v>1</v>
      </c>
      <c r="S32" s="24">
        <f t="shared" si="0"/>
        <v>14</v>
      </c>
      <c r="T32" s="25">
        <f>IF($C32="",0,VLOOKUP($C32,[2]Hoja1!$C$11:$D$27,2,FALSE)*M32)+IF($D32="",0,VLOOKUP($D32,[2]Hoja1!$C$11:$D$27,2,FALSE)*N32)+IF($F32="",0,VLOOKUP($F32,[2]Hoja1!$C$11:$D$27,2,FALSE)*P32)+IF(R32="",0,R32*0.5)</f>
        <v>8.3000000000000007</v>
      </c>
      <c r="U32" s="22">
        <f>IF(G32="x",4,"")</f>
        <v>4</v>
      </c>
      <c r="V32" s="22">
        <v>4</v>
      </c>
      <c r="W32" s="26">
        <v>1.5</v>
      </c>
      <c r="X32" s="22">
        <v>4</v>
      </c>
      <c r="Y32" s="22"/>
      <c r="Z32" s="22"/>
      <c r="AA32" s="22"/>
      <c r="AB32" s="22">
        <v>3</v>
      </c>
      <c r="AC32" s="22">
        <v>1</v>
      </c>
      <c r="AD32" s="22">
        <v>0.5</v>
      </c>
      <c r="AE32" s="22">
        <v>2.5</v>
      </c>
      <c r="AF32" s="22">
        <v>1</v>
      </c>
      <c r="AG32" s="29" t="s">
        <v>297</v>
      </c>
      <c r="AH32" s="28">
        <f t="shared" si="1"/>
        <v>29.8</v>
      </c>
      <c r="AI32" s="22"/>
      <c r="AJ32" s="22"/>
      <c r="AK32" s="22"/>
      <c r="AL32" s="22"/>
      <c r="AM32" s="22"/>
      <c r="AN32" s="30">
        <f t="shared" si="2"/>
        <v>0</v>
      </c>
      <c r="AO32" s="39"/>
      <c r="AP32" s="39"/>
      <c r="AQ32" s="33">
        <f t="shared" si="3"/>
        <v>0</v>
      </c>
      <c r="AR32" s="60">
        <f t="shared" si="4"/>
        <v>43.8</v>
      </c>
      <c r="AS32" s="343">
        <f t="shared" si="5"/>
        <v>10.200000000000003</v>
      </c>
      <c r="AT32" s="355">
        <v>40.299999999999997</v>
      </c>
      <c r="AU32" s="356">
        <f t="shared" si="6"/>
        <v>11.333333333333334</v>
      </c>
      <c r="AV32" s="357">
        <f t="shared" si="7"/>
        <v>0</v>
      </c>
      <c r="AW32" s="358">
        <f t="shared" si="8"/>
        <v>0</v>
      </c>
      <c r="AX32" s="356">
        <f t="shared" si="9"/>
        <v>28.966666666666661</v>
      </c>
      <c r="AY32" s="359">
        <f t="shared" si="11"/>
        <v>0.28122415219189417</v>
      </c>
      <c r="AZ32" s="360">
        <f t="shared" si="10"/>
        <v>0.71877584780810577</v>
      </c>
      <c r="BA32" s="287">
        <v>2930600</v>
      </c>
      <c r="BB32" s="287">
        <f t="shared" si="12"/>
        <v>54270.370370370372</v>
      </c>
    </row>
    <row r="33" spans="1:54" ht="15.75" thickBot="1" x14ac:dyDescent="0.3">
      <c r="A33" s="17" t="s">
        <v>367</v>
      </c>
      <c r="B33" s="17" t="s">
        <v>368</v>
      </c>
      <c r="C33" s="61" t="s">
        <v>109</v>
      </c>
      <c r="D33" s="62"/>
      <c r="E33" s="62"/>
      <c r="F33" s="62"/>
      <c r="G33" s="63" t="s">
        <v>57</v>
      </c>
      <c r="H33" s="63"/>
      <c r="I33" s="64"/>
      <c r="J33" s="64"/>
      <c r="K33" s="64" t="s">
        <v>290</v>
      </c>
      <c r="L33" s="65">
        <v>54</v>
      </c>
      <c r="M33" s="66">
        <v>20</v>
      </c>
      <c r="N33" s="67"/>
      <c r="O33" s="67"/>
      <c r="P33" s="67"/>
      <c r="Q33" s="67"/>
      <c r="R33" s="67">
        <v>1</v>
      </c>
      <c r="S33" s="24">
        <f t="shared" si="0"/>
        <v>21</v>
      </c>
      <c r="T33" s="25">
        <f>IF($C33="",0,VLOOKUP($C33,[2]Hoja1!$C$11:$D$27,2,FALSE)*M33)+IF($D33="",0,VLOOKUP($D33,[2]Hoja1!$C$11:$D$27,2,FALSE)*N33)+IF($F33="",0,VLOOKUP($F33,[2]Hoja1!$C$11:$D$27,2,FALSE)*P33)+IF(R33="",0,R33*0.5)</f>
        <v>10.5</v>
      </c>
      <c r="U33" s="22">
        <f>IF(G33="x",4,"")</f>
        <v>4</v>
      </c>
      <c r="V33" s="67">
        <v>4</v>
      </c>
      <c r="W33" s="68">
        <v>1.5</v>
      </c>
      <c r="X33" s="67"/>
      <c r="Y33" s="67"/>
      <c r="Z33" s="67"/>
      <c r="AA33" s="67"/>
      <c r="AB33" s="67">
        <v>3</v>
      </c>
      <c r="AC33" s="67">
        <v>1</v>
      </c>
      <c r="AD33" s="67">
        <v>0.5</v>
      </c>
      <c r="AE33" s="67"/>
      <c r="AF33" s="67">
        <v>1</v>
      </c>
      <c r="AG33" s="69" t="s">
        <v>297</v>
      </c>
      <c r="AH33" s="28">
        <f t="shared" si="1"/>
        <v>25.5</v>
      </c>
      <c r="AI33" s="66"/>
      <c r="AJ33" s="67"/>
      <c r="AK33" s="67"/>
      <c r="AL33" s="67"/>
      <c r="AM33" s="67"/>
      <c r="AN33" s="30">
        <f t="shared" si="2"/>
        <v>0</v>
      </c>
      <c r="AO33" s="70"/>
      <c r="AP33" s="70"/>
      <c r="AQ33" s="33">
        <f t="shared" si="3"/>
        <v>0</v>
      </c>
      <c r="AR33" s="60">
        <f t="shared" si="4"/>
        <v>46.5</v>
      </c>
      <c r="AS33" s="343">
        <f t="shared" si="5"/>
        <v>7.5</v>
      </c>
      <c r="AT33" s="355">
        <v>40.25</v>
      </c>
      <c r="AU33" s="356">
        <f t="shared" si="6"/>
        <v>16</v>
      </c>
      <c r="AV33" s="357">
        <f t="shared" si="7"/>
        <v>0</v>
      </c>
      <c r="AW33" s="358">
        <f t="shared" si="8"/>
        <v>0</v>
      </c>
      <c r="AX33" s="356">
        <f t="shared" si="9"/>
        <v>24.25</v>
      </c>
      <c r="AY33" s="359">
        <f t="shared" si="11"/>
        <v>0.39751552795031053</v>
      </c>
      <c r="AZ33" s="360">
        <f t="shared" si="10"/>
        <v>0.60248447204968947</v>
      </c>
      <c r="BA33" s="287">
        <v>2662423</v>
      </c>
      <c r="BB33" s="287">
        <f t="shared" si="12"/>
        <v>49304.129629629628</v>
      </c>
    </row>
    <row r="34" spans="1:54" ht="15.75" thickBot="1" x14ac:dyDescent="0.3">
      <c r="A34" s="17" t="s">
        <v>369</v>
      </c>
      <c r="B34" s="17" t="s">
        <v>370</v>
      </c>
      <c r="C34" s="18" t="s">
        <v>64</v>
      </c>
      <c r="D34" s="18"/>
      <c r="E34" s="18"/>
      <c r="F34" s="18"/>
      <c r="G34" s="19" t="s">
        <v>57</v>
      </c>
      <c r="H34" s="19"/>
      <c r="I34" s="20"/>
      <c r="J34" s="20"/>
      <c r="K34" s="20"/>
      <c r="L34" s="72">
        <v>54</v>
      </c>
      <c r="M34" s="22">
        <v>22</v>
      </c>
      <c r="N34" s="22"/>
      <c r="O34" s="22"/>
      <c r="P34" s="22"/>
      <c r="Q34" s="22">
        <v>2</v>
      </c>
      <c r="R34" s="23">
        <v>2</v>
      </c>
      <c r="S34" s="24">
        <f t="shared" si="0"/>
        <v>26</v>
      </c>
      <c r="T34" s="25">
        <f>IF($C34="",0,VLOOKUP($C34,[2]Hoja1!$C$11:$D$27,2,FALSE)*M34)+IF($D34="",0,VLOOKUP($D34,[2]Hoja1!$C$11:$D$27,2,FALSE)*N34)+IF($F34="",0,VLOOKUP($F34,[2]Hoja1!$C$11:$D$27,2,FALSE)*P34)+IF(R34="",0,R34*0.5)</f>
        <v>12</v>
      </c>
      <c r="U34" s="22">
        <v>5</v>
      </c>
      <c r="V34" s="22">
        <v>0</v>
      </c>
      <c r="W34" s="26">
        <v>1.5</v>
      </c>
      <c r="X34" s="22"/>
      <c r="Y34" s="22"/>
      <c r="Z34" s="22"/>
      <c r="AA34" s="22"/>
      <c r="AB34" s="22"/>
      <c r="AC34" s="22">
        <v>2</v>
      </c>
      <c r="AD34" s="22">
        <v>1</v>
      </c>
      <c r="AE34" s="22">
        <v>1</v>
      </c>
      <c r="AF34" s="22">
        <v>3</v>
      </c>
      <c r="AG34" s="29" t="s">
        <v>371</v>
      </c>
      <c r="AH34" s="28">
        <f t="shared" si="1"/>
        <v>25.5</v>
      </c>
      <c r="AI34" s="22"/>
      <c r="AJ34" s="22"/>
      <c r="AK34" s="22"/>
      <c r="AL34" s="22"/>
      <c r="AM34" s="22"/>
      <c r="AN34" s="30">
        <f t="shared" si="2"/>
        <v>0</v>
      </c>
      <c r="AO34" s="39"/>
      <c r="AP34" s="39"/>
      <c r="AQ34" s="33">
        <f t="shared" si="3"/>
        <v>0</v>
      </c>
      <c r="AR34" s="60">
        <f t="shared" si="4"/>
        <v>51.5</v>
      </c>
      <c r="AS34" s="343">
        <f t="shared" si="5"/>
        <v>2.5</v>
      </c>
      <c r="AT34" s="355">
        <v>40.366666666666667</v>
      </c>
      <c r="AU34" s="356">
        <f t="shared" si="6"/>
        <v>17.333333333333332</v>
      </c>
      <c r="AV34" s="357">
        <f t="shared" si="7"/>
        <v>0</v>
      </c>
      <c r="AW34" s="358">
        <f t="shared" si="8"/>
        <v>0</v>
      </c>
      <c r="AX34" s="356">
        <f t="shared" si="9"/>
        <v>23.033333333333335</v>
      </c>
      <c r="AY34" s="359">
        <f t="shared" si="11"/>
        <v>0.42939719240297269</v>
      </c>
      <c r="AZ34" s="360">
        <f t="shared" si="10"/>
        <v>0.57060280759702731</v>
      </c>
      <c r="BA34" s="287">
        <v>2170054</v>
      </c>
      <c r="BB34" s="287">
        <f t="shared" si="12"/>
        <v>40186.185185185182</v>
      </c>
    </row>
    <row r="35" spans="1:54" ht="15.75" thickBot="1" x14ac:dyDescent="0.3">
      <c r="A35" s="17" t="s">
        <v>372</v>
      </c>
      <c r="B35" s="17" t="s">
        <v>373</v>
      </c>
      <c r="C35" s="18" t="s">
        <v>126</v>
      </c>
      <c r="D35" s="18"/>
      <c r="E35" s="18"/>
      <c r="F35" s="18"/>
      <c r="G35" s="19"/>
      <c r="H35" s="19"/>
      <c r="I35" s="20"/>
      <c r="J35" s="20"/>
      <c r="K35" s="20" t="s">
        <v>309</v>
      </c>
      <c r="L35" s="72">
        <v>48</v>
      </c>
      <c r="M35" s="22">
        <v>4</v>
      </c>
      <c r="N35" s="22"/>
      <c r="O35" s="22"/>
      <c r="P35" s="22"/>
      <c r="Q35" s="22"/>
      <c r="R35" s="23" t="str">
        <f>IF(G35="x",1,"")</f>
        <v/>
      </c>
      <c r="S35" s="24">
        <f t="shared" si="0"/>
        <v>4</v>
      </c>
      <c r="T35" s="25">
        <f>IF($C35="",0,VLOOKUP($C35,[2]Hoja1!$C$11:$D$27,2,FALSE)*M35)+IF($D35="",0,VLOOKUP($D35,[2]Hoja1!$C$11:$D$27,2,FALSE)*N35)+IF($F35="",0,VLOOKUP($F35,[2]Hoja1!$C$11:$D$27,2,FALSE)*P35)+IF(R35="",0,R35*0.5)</f>
        <v>1.2</v>
      </c>
      <c r="U35" s="22" t="str">
        <f t="shared" ref="U35:U43" si="16">IF(G35="x",4,"")</f>
        <v/>
      </c>
      <c r="V35" s="22" t="s">
        <v>291</v>
      </c>
      <c r="W35" s="26">
        <v>1.5</v>
      </c>
      <c r="X35" s="22">
        <v>4</v>
      </c>
      <c r="Y35" s="22">
        <v>8</v>
      </c>
      <c r="Z35" s="22"/>
      <c r="AA35" s="22"/>
      <c r="AB35" s="22"/>
      <c r="AC35" s="22">
        <v>5</v>
      </c>
      <c r="AD35" s="22">
        <v>2.5</v>
      </c>
      <c r="AE35" s="22">
        <v>2</v>
      </c>
      <c r="AF35" s="22">
        <v>16</v>
      </c>
      <c r="AG35" s="29" t="s">
        <v>374</v>
      </c>
      <c r="AH35" s="28">
        <f t="shared" si="1"/>
        <v>40.200000000000003</v>
      </c>
      <c r="AI35" s="22"/>
      <c r="AJ35" s="22"/>
      <c r="AK35" s="22"/>
      <c r="AL35" s="22"/>
      <c r="AM35" s="22"/>
      <c r="AN35" s="30">
        <f t="shared" si="2"/>
        <v>0</v>
      </c>
      <c r="AO35" s="39"/>
      <c r="AP35" s="39"/>
      <c r="AQ35" s="33">
        <f t="shared" si="3"/>
        <v>0</v>
      </c>
      <c r="AR35" s="60">
        <f t="shared" si="4"/>
        <v>44.2</v>
      </c>
      <c r="AS35" s="343">
        <f t="shared" si="5"/>
        <v>3.7999999999999972</v>
      </c>
      <c r="AT35" s="355">
        <v>35.133333333333333</v>
      </c>
      <c r="AU35" s="356">
        <f t="shared" si="6"/>
        <v>2.6666666666666665</v>
      </c>
      <c r="AV35" s="357">
        <f t="shared" si="7"/>
        <v>0</v>
      </c>
      <c r="AW35" s="358">
        <f t="shared" si="8"/>
        <v>0</v>
      </c>
      <c r="AX35" s="356">
        <f t="shared" si="9"/>
        <v>32.466666666666669</v>
      </c>
      <c r="AY35" s="359">
        <f t="shared" si="11"/>
        <v>7.5901328273244778E-2</v>
      </c>
      <c r="AZ35" s="360">
        <f t="shared" si="10"/>
        <v>0.92409867172675531</v>
      </c>
      <c r="BA35" s="287">
        <v>1532627</v>
      </c>
      <c r="BB35" s="287">
        <f t="shared" si="12"/>
        <v>31929.729166666668</v>
      </c>
    </row>
    <row r="36" spans="1:54" ht="15.75" thickBot="1" x14ac:dyDescent="0.3">
      <c r="A36" s="17" t="s">
        <v>375</v>
      </c>
      <c r="B36" s="17" t="s">
        <v>376</v>
      </c>
      <c r="C36" s="18" t="s">
        <v>61</v>
      </c>
      <c r="D36" s="18"/>
      <c r="E36" s="18"/>
      <c r="F36" s="18"/>
      <c r="G36" s="19" t="s">
        <v>57</v>
      </c>
      <c r="H36" s="19"/>
      <c r="I36" s="20"/>
      <c r="J36" s="20"/>
      <c r="K36" s="20" t="s">
        <v>318</v>
      </c>
      <c r="L36" s="72">
        <v>54</v>
      </c>
      <c r="M36" s="22">
        <v>18</v>
      </c>
      <c r="N36" s="22"/>
      <c r="O36" s="22"/>
      <c r="P36" s="22"/>
      <c r="Q36" s="22"/>
      <c r="R36" s="23">
        <f>IF(G36="x",1,"")</f>
        <v>1</v>
      </c>
      <c r="S36" s="24">
        <f t="shared" si="0"/>
        <v>19</v>
      </c>
      <c r="T36" s="25">
        <f>IF($C36="",0,VLOOKUP($C36,[2]Hoja1!$C$11:$D$27,2,FALSE)*M36)+IF($D36="",0,VLOOKUP($D36,[2]Hoja1!$C$11:$D$27,2,FALSE)*N36)+IF($F36="",0,VLOOKUP($F36,[2]Hoja1!$C$11:$D$27,2,FALSE)*P36)+IF(R36="",0,R36*0.5)</f>
        <v>9.5</v>
      </c>
      <c r="U36" s="22">
        <f t="shared" si="16"/>
        <v>4</v>
      </c>
      <c r="V36" s="22">
        <v>4</v>
      </c>
      <c r="W36" s="26">
        <v>1.5</v>
      </c>
      <c r="X36" s="22">
        <v>2</v>
      </c>
      <c r="Y36" s="22"/>
      <c r="Z36" s="22"/>
      <c r="AA36" s="22"/>
      <c r="AB36" s="22">
        <v>2</v>
      </c>
      <c r="AC36" s="22">
        <v>1</v>
      </c>
      <c r="AD36" s="22">
        <v>0.5</v>
      </c>
      <c r="AE36" s="22"/>
      <c r="AF36" s="22">
        <v>1</v>
      </c>
      <c r="AG36" s="29" t="s">
        <v>297</v>
      </c>
      <c r="AH36" s="28">
        <f t="shared" si="1"/>
        <v>25.5</v>
      </c>
      <c r="AI36" s="22"/>
      <c r="AJ36" s="22"/>
      <c r="AK36" s="22"/>
      <c r="AL36" s="22"/>
      <c r="AM36" s="22"/>
      <c r="AN36" s="30">
        <f t="shared" si="2"/>
        <v>0</v>
      </c>
      <c r="AO36" s="39"/>
      <c r="AP36" s="39"/>
      <c r="AQ36" s="33">
        <f t="shared" si="3"/>
        <v>0</v>
      </c>
      <c r="AR36" s="60">
        <f t="shared" ref="AR36:AR67" si="17">+S36+AH36+AN36+AQ36</f>
        <v>44.5</v>
      </c>
      <c r="AS36" s="343">
        <f t="shared" ref="AS36:AS67" si="18">+L36-AR36</f>
        <v>9.5</v>
      </c>
      <c r="AT36" s="355">
        <v>40.333333333333336</v>
      </c>
      <c r="AU36" s="356">
        <f t="shared" ref="AU36:AU67" si="19">+(S36+AB36)*40/60</f>
        <v>14</v>
      </c>
      <c r="AV36" s="357">
        <f t="shared" ref="AV36:AV67" si="20">+AN36*40/60</f>
        <v>0</v>
      </c>
      <c r="AW36" s="358">
        <f t="shared" ref="AW36:AW67" si="21">+AQ36*0.666666666666667</f>
        <v>0</v>
      </c>
      <c r="AX36" s="356">
        <f t="shared" si="9"/>
        <v>26.333333333333336</v>
      </c>
      <c r="AY36" s="359">
        <f t="shared" si="11"/>
        <v>0.34710743801652888</v>
      </c>
      <c r="AZ36" s="360">
        <f t="shared" si="10"/>
        <v>0.65289256198347112</v>
      </c>
      <c r="BA36" s="287">
        <v>2489859</v>
      </c>
      <c r="BB36" s="287">
        <f t="shared" si="12"/>
        <v>46108.5</v>
      </c>
    </row>
    <row r="37" spans="1:54" ht="15.75" thickBot="1" x14ac:dyDescent="0.3">
      <c r="A37" s="17" t="s">
        <v>377</v>
      </c>
      <c r="B37" s="17" t="s">
        <v>378</v>
      </c>
      <c r="C37" s="61" t="s">
        <v>295</v>
      </c>
      <c r="D37" s="63" t="s">
        <v>56</v>
      </c>
      <c r="E37" s="63"/>
      <c r="F37" s="62"/>
      <c r="G37" s="63" t="s">
        <v>57</v>
      </c>
      <c r="H37" s="63" t="s">
        <v>57</v>
      </c>
      <c r="I37" s="64"/>
      <c r="J37" s="64"/>
      <c r="K37" s="64" t="s">
        <v>349</v>
      </c>
      <c r="L37" s="65">
        <v>54</v>
      </c>
      <c r="M37" s="66">
        <v>6</v>
      </c>
      <c r="N37" s="67">
        <v>6</v>
      </c>
      <c r="O37" s="67"/>
      <c r="P37" s="67">
        <v>4</v>
      </c>
      <c r="Q37" s="67"/>
      <c r="R37" s="67">
        <v>2</v>
      </c>
      <c r="S37" s="24">
        <f t="shared" si="0"/>
        <v>18</v>
      </c>
      <c r="T37" s="25">
        <f>IF($C37="",0,VLOOKUP($C37,[2]Hoja1!$C$11:$D$27,2,FALSE)*M37)+IF($D37="",0,VLOOKUP($D37,[2]Hoja1!$C$11:$D$27,2,FALSE)*N37)+IF($F37="",0,VLOOKUP($F37,[2]Hoja1!$C$11:$D$27,2,FALSE)*P37)+IF(R37="",0,R37*0.5)</f>
        <v>7</v>
      </c>
      <c r="U37" s="22">
        <f t="shared" si="16"/>
        <v>4</v>
      </c>
      <c r="V37" s="67">
        <v>4</v>
      </c>
      <c r="W37" s="68">
        <v>1.5</v>
      </c>
      <c r="X37" s="67"/>
      <c r="Y37" s="67"/>
      <c r="Z37" s="67"/>
      <c r="AA37" s="67"/>
      <c r="AB37" s="67">
        <v>3</v>
      </c>
      <c r="AC37" s="67">
        <v>1</v>
      </c>
      <c r="AD37" s="67">
        <v>0.5</v>
      </c>
      <c r="AE37" s="67"/>
      <c r="AF37" s="67">
        <v>1</v>
      </c>
      <c r="AG37" s="69" t="s">
        <v>297</v>
      </c>
      <c r="AH37" s="28">
        <f t="shared" si="1"/>
        <v>22</v>
      </c>
      <c r="AI37" s="66"/>
      <c r="AJ37" s="67">
        <v>10</v>
      </c>
      <c r="AK37" s="67"/>
      <c r="AL37" s="67">
        <v>2</v>
      </c>
      <c r="AM37" s="67" t="s">
        <v>49</v>
      </c>
      <c r="AN37" s="30">
        <f t="shared" si="2"/>
        <v>12</v>
      </c>
      <c r="AO37" s="70"/>
      <c r="AP37" s="70"/>
      <c r="AQ37" s="33">
        <f t="shared" si="3"/>
        <v>0</v>
      </c>
      <c r="AR37" s="60">
        <f t="shared" si="17"/>
        <v>52</v>
      </c>
      <c r="AS37" s="343">
        <f t="shared" si="18"/>
        <v>2</v>
      </c>
      <c r="AT37" s="355">
        <v>40.266666666666666</v>
      </c>
      <c r="AU37" s="356">
        <f t="shared" si="19"/>
        <v>14</v>
      </c>
      <c r="AV37" s="357">
        <f t="shared" si="20"/>
        <v>8</v>
      </c>
      <c r="AW37" s="358">
        <f t="shared" si="21"/>
        <v>0</v>
      </c>
      <c r="AX37" s="356">
        <f t="shared" si="9"/>
        <v>18.266666666666666</v>
      </c>
      <c r="AY37" s="359">
        <f t="shared" si="11"/>
        <v>0.43388429752066116</v>
      </c>
      <c r="AZ37" s="360">
        <f t="shared" si="10"/>
        <v>0.56611570247933884</v>
      </c>
      <c r="BA37" s="287">
        <v>2873513</v>
      </c>
      <c r="BB37" s="287">
        <f t="shared" si="12"/>
        <v>53213.203703703701</v>
      </c>
    </row>
    <row r="38" spans="1:54" ht="15.75" thickBot="1" x14ac:dyDescent="0.3">
      <c r="A38" s="17" t="s">
        <v>379</v>
      </c>
      <c r="B38" s="17" t="s">
        <v>380</v>
      </c>
      <c r="C38" s="73" t="s">
        <v>55</v>
      </c>
      <c r="D38" s="73"/>
      <c r="E38" s="73"/>
      <c r="F38" s="73"/>
      <c r="G38" s="19" t="s">
        <v>57</v>
      </c>
      <c r="H38" s="19"/>
      <c r="I38" s="20"/>
      <c r="J38" s="20"/>
      <c r="K38" s="20"/>
      <c r="L38" s="72">
        <v>54</v>
      </c>
      <c r="M38" s="22">
        <v>19</v>
      </c>
      <c r="N38" s="22"/>
      <c r="O38" s="22"/>
      <c r="P38" s="22"/>
      <c r="Q38" s="22"/>
      <c r="R38" s="23">
        <f>IF(G38="x",1,"")</f>
        <v>1</v>
      </c>
      <c r="S38" s="24">
        <f t="shared" si="0"/>
        <v>20</v>
      </c>
      <c r="T38" s="25">
        <f>IF($C38="",0,VLOOKUP($C38,[2]Hoja1!$C$11:$D$27,2,FALSE)*M38)+IF($D38="",0,VLOOKUP($D38,[2]Hoja1!$C$11:$D$27,2,FALSE)*N38)+IF($F38="",0,VLOOKUP($F38,[2]Hoja1!$C$11:$D$27,2,FALSE)*P38)+IF(R38="",0,R38*0.5)</f>
        <v>11.9</v>
      </c>
      <c r="U38" s="22">
        <f t="shared" si="16"/>
        <v>4</v>
      </c>
      <c r="V38" s="22">
        <v>4</v>
      </c>
      <c r="W38" s="26">
        <v>1.5</v>
      </c>
      <c r="X38" s="22"/>
      <c r="Y38" s="22"/>
      <c r="Z38" s="22"/>
      <c r="AA38" s="22"/>
      <c r="AB38" s="22">
        <v>3</v>
      </c>
      <c r="AC38" s="22"/>
      <c r="AD38" s="22"/>
      <c r="AE38" s="22"/>
      <c r="AF38" s="22">
        <v>1</v>
      </c>
      <c r="AG38" s="29" t="s">
        <v>297</v>
      </c>
      <c r="AH38" s="28">
        <f>SUM(T38:AG38)</f>
        <v>25.4</v>
      </c>
      <c r="AI38" s="22"/>
      <c r="AJ38" s="22"/>
      <c r="AK38" s="22"/>
      <c r="AL38" s="22"/>
      <c r="AM38" s="22"/>
      <c r="AN38" s="30">
        <f t="shared" si="2"/>
        <v>0</v>
      </c>
      <c r="AO38" s="39"/>
      <c r="AP38" s="39"/>
      <c r="AQ38" s="33">
        <f t="shared" si="3"/>
        <v>0</v>
      </c>
      <c r="AR38" s="60">
        <f t="shared" si="17"/>
        <v>45.4</v>
      </c>
      <c r="AS38" s="343">
        <f t="shared" si="18"/>
        <v>8.6000000000000014</v>
      </c>
      <c r="AT38" s="355">
        <v>40.283333333333331</v>
      </c>
      <c r="AU38" s="356">
        <f t="shared" si="19"/>
        <v>15.333333333333334</v>
      </c>
      <c r="AV38" s="357">
        <f t="shared" si="20"/>
        <v>0</v>
      </c>
      <c r="AW38" s="358">
        <f t="shared" si="21"/>
        <v>0</v>
      </c>
      <c r="AX38" s="356">
        <f t="shared" si="9"/>
        <v>24.949999999999996</v>
      </c>
      <c r="AY38" s="359">
        <f t="shared" si="11"/>
        <v>0.38063715349606952</v>
      </c>
      <c r="AZ38" s="360">
        <f t="shared" si="10"/>
        <v>0.61936284650393036</v>
      </c>
      <c r="BA38" s="287">
        <v>3100000</v>
      </c>
      <c r="BB38" s="287">
        <f t="shared" si="12"/>
        <v>57407.407407407409</v>
      </c>
    </row>
    <row r="39" spans="1:54" ht="15.75" thickBot="1" x14ac:dyDescent="0.3">
      <c r="A39" s="17" t="s">
        <v>381</v>
      </c>
      <c r="B39" s="17" t="s">
        <v>382</v>
      </c>
      <c r="C39" s="18" t="s">
        <v>64</v>
      </c>
      <c r="D39" s="18"/>
      <c r="E39" s="18"/>
      <c r="F39" s="18"/>
      <c r="G39" s="19" t="s">
        <v>57</v>
      </c>
      <c r="H39" s="19"/>
      <c r="I39" s="20"/>
      <c r="J39" s="20"/>
      <c r="K39" s="20"/>
      <c r="L39" s="72">
        <v>54</v>
      </c>
      <c r="M39" s="22">
        <v>22</v>
      </c>
      <c r="N39" s="22"/>
      <c r="O39" s="22"/>
      <c r="P39" s="22"/>
      <c r="Q39" s="22"/>
      <c r="R39" s="23">
        <f>IF(G39="x",1,"")</f>
        <v>1</v>
      </c>
      <c r="S39" s="24">
        <f t="shared" si="0"/>
        <v>23</v>
      </c>
      <c r="T39" s="25">
        <f>IF($C39="",0,VLOOKUP($C39,[2]Hoja1!$C$11:$D$27,2,FALSE)*M39)+IF($D39="",0,VLOOKUP($D39,[2]Hoja1!$C$11:$D$27,2,FALSE)*N39)+IF($F39="",0,VLOOKUP($F39,[2]Hoja1!$C$11:$D$27,2,FALSE)*P39)+IF(R39="",0,R39*0.5)</f>
        <v>11.5</v>
      </c>
      <c r="U39" s="22">
        <f t="shared" si="16"/>
        <v>4</v>
      </c>
      <c r="V39" s="22">
        <v>4</v>
      </c>
      <c r="W39" s="26">
        <v>1.5</v>
      </c>
      <c r="X39" s="22"/>
      <c r="Y39" s="22"/>
      <c r="Z39" s="22"/>
      <c r="AA39" s="22"/>
      <c r="AB39" s="22"/>
      <c r="AC39" s="22">
        <v>2</v>
      </c>
      <c r="AD39" s="22">
        <v>1</v>
      </c>
      <c r="AE39" s="22">
        <v>1</v>
      </c>
      <c r="AF39" s="22">
        <v>5</v>
      </c>
      <c r="AG39" s="29" t="s">
        <v>383</v>
      </c>
      <c r="AH39" s="28">
        <f t="shared" ref="AH39:AH102" si="22">SUM(T39:AF39)</f>
        <v>30</v>
      </c>
      <c r="AI39" s="22"/>
      <c r="AJ39" s="22"/>
      <c r="AK39" s="22"/>
      <c r="AL39" s="22"/>
      <c r="AM39" s="22"/>
      <c r="AN39" s="30">
        <f t="shared" si="2"/>
        <v>0</v>
      </c>
      <c r="AO39" s="39"/>
      <c r="AP39" s="39"/>
      <c r="AQ39" s="33">
        <f t="shared" si="3"/>
        <v>0</v>
      </c>
      <c r="AR39" s="60">
        <f t="shared" si="17"/>
        <v>53</v>
      </c>
      <c r="AS39" s="343">
        <f t="shared" si="18"/>
        <v>1</v>
      </c>
      <c r="AT39" s="355">
        <v>40.333333333333336</v>
      </c>
      <c r="AU39" s="356">
        <f t="shared" si="19"/>
        <v>15.333333333333334</v>
      </c>
      <c r="AV39" s="357">
        <f t="shared" si="20"/>
        <v>0</v>
      </c>
      <c r="AW39" s="358">
        <f t="shared" si="21"/>
        <v>0</v>
      </c>
      <c r="AX39" s="356">
        <f t="shared" si="9"/>
        <v>25</v>
      </c>
      <c r="AY39" s="359">
        <f t="shared" si="11"/>
        <v>0.38016528925619836</v>
      </c>
      <c r="AZ39" s="360">
        <f t="shared" si="10"/>
        <v>0.61983471074380159</v>
      </c>
      <c r="BA39" s="287">
        <v>2294219</v>
      </c>
      <c r="BB39" s="287">
        <f t="shared" si="12"/>
        <v>42485.537037037036</v>
      </c>
    </row>
    <row r="40" spans="1:54" ht="15.75" thickBot="1" x14ac:dyDescent="0.3">
      <c r="A40" s="17" t="s">
        <v>384</v>
      </c>
      <c r="B40" s="17" t="s">
        <v>385</v>
      </c>
      <c r="C40" s="18" t="s">
        <v>126</v>
      </c>
      <c r="D40" s="18"/>
      <c r="E40" s="18"/>
      <c r="F40" s="18"/>
      <c r="G40" s="19" t="s">
        <v>57</v>
      </c>
      <c r="H40" s="19"/>
      <c r="I40" s="20"/>
      <c r="J40" s="20"/>
      <c r="K40" s="20" t="s">
        <v>309</v>
      </c>
      <c r="L40" s="72">
        <v>55</v>
      </c>
      <c r="M40" s="22">
        <v>22</v>
      </c>
      <c r="N40" s="22"/>
      <c r="O40" s="22"/>
      <c r="P40" s="22"/>
      <c r="Q40" s="22"/>
      <c r="R40" s="23">
        <f>IF(G40="x",1,"")</f>
        <v>1</v>
      </c>
      <c r="S40" s="24">
        <f t="shared" si="0"/>
        <v>23</v>
      </c>
      <c r="T40" s="25">
        <f>IF($C40="",0,VLOOKUP($C40,[2]Hoja1!$C$11:$D$27,2,FALSE)*M40)+IF($D40="",0,VLOOKUP($D40,[2]Hoja1!$C$11:$D$27,2,FALSE)*N40)+IF($F40="",0,VLOOKUP($F40,[2]Hoja1!$C$11:$D$27,2,FALSE)*P40)+IF(R40="",0,R40*0.5)</f>
        <v>7.1</v>
      </c>
      <c r="U40" s="22">
        <f t="shared" si="16"/>
        <v>4</v>
      </c>
      <c r="V40" s="22">
        <v>4</v>
      </c>
      <c r="W40" s="26">
        <v>1.5</v>
      </c>
      <c r="X40" s="22"/>
      <c r="Y40" s="22">
        <v>10</v>
      </c>
      <c r="Z40" s="22"/>
      <c r="AA40" s="22"/>
      <c r="AB40" s="22">
        <v>4</v>
      </c>
      <c r="AC40" s="22">
        <v>1</v>
      </c>
      <c r="AD40" s="22">
        <v>0.5</v>
      </c>
      <c r="AE40" s="22"/>
      <c r="AF40" s="22">
        <v>8</v>
      </c>
      <c r="AG40" s="29" t="s">
        <v>313</v>
      </c>
      <c r="AH40" s="28">
        <f t="shared" si="22"/>
        <v>40.1</v>
      </c>
      <c r="AI40" s="22"/>
      <c r="AJ40" s="22"/>
      <c r="AK40" s="22"/>
      <c r="AL40" s="22"/>
      <c r="AM40" s="22"/>
      <c r="AN40" s="30">
        <f t="shared" si="2"/>
        <v>0</v>
      </c>
      <c r="AO40" s="39"/>
      <c r="AP40" s="39"/>
      <c r="AQ40" s="33">
        <f t="shared" si="3"/>
        <v>0</v>
      </c>
      <c r="AR40" s="60">
        <f t="shared" si="17"/>
        <v>63.1</v>
      </c>
      <c r="AS40" s="343">
        <f t="shared" si="18"/>
        <v>-8.1000000000000014</v>
      </c>
      <c r="AT40" s="355">
        <v>40.299999999999997</v>
      </c>
      <c r="AU40" s="356">
        <f t="shared" si="19"/>
        <v>18</v>
      </c>
      <c r="AV40" s="357">
        <f t="shared" si="20"/>
        <v>0</v>
      </c>
      <c r="AW40" s="358">
        <f t="shared" si="21"/>
        <v>0</v>
      </c>
      <c r="AX40" s="356">
        <f t="shared" si="9"/>
        <v>22.299999999999997</v>
      </c>
      <c r="AY40" s="359">
        <f t="shared" si="11"/>
        <v>0.44665012406947896</v>
      </c>
      <c r="AZ40" s="360">
        <f t="shared" si="10"/>
        <v>0.5533498759305211</v>
      </c>
      <c r="BA40" s="287">
        <v>3275517</v>
      </c>
      <c r="BB40" s="287">
        <f t="shared" si="12"/>
        <v>59554.854545454546</v>
      </c>
    </row>
    <row r="41" spans="1:54" ht="15.75" thickBot="1" x14ac:dyDescent="0.3">
      <c r="A41" s="17" t="s">
        <v>386</v>
      </c>
      <c r="B41" s="17" t="s">
        <v>387</v>
      </c>
      <c r="C41" s="61" t="s">
        <v>54</v>
      </c>
      <c r="D41" s="62"/>
      <c r="E41" s="62"/>
      <c r="F41" s="62"/>
      <c r="G41" s="63"/>
      <c r="H41" s="63"/>
      <c r="I41" s="64"/>
      <c r="J41" s="64"/>
      <c r="K41" s="64" t="s">
        <v>296</v>
      </c>
      <c r="L41" s="65">
        <v>54</v>
      </c>
      <c r="M41" s="66">
        <v>20</v>
      </c>
      <c r="N41" s="67"/>
      <c r="O41" s="67"/>
      <c r="P41" s="67">
        <v>4</v>
      </c>
      <c r="Q41" s="67"/>
      <c r="R41" s="67"/>
      <c r="S41" s="24">
        <f t="shared" si="0"/>
        <v>24</v>
      </c>
      <c r="T41" s="25">
        <f>IF($C41="",0,VLOOKUP($C41,[2]Hoja1!$C$11:$D$27,2,FALSE)*M41)+IF($D41="",0,VLOOKUP($D41,[2]Hoja1!$C$11:$D$27,2,FALSE)*N41)+IF($F41="",0,VLOOKUP($F41,[2]Hoja1!$C$11:$D$27,2,FALSE)*P41)+IF(R41="",0,R41*0.5)</f>
        <v>10</v>
      </c>
      <c r="U41" s="22" t="str">
        <f t="shared" si="16"/>
        <v/>
      </c>
      <c r="V41" s="67"/>
      <c r="W41" s="68">
        <v>1.5</v>
      </c>
      <c r="X41" s="67"/>
      <c r="Y41" s="67"/>
      <c r="Z41" s="67"/>
      <c r="AA41" s="67"/>
      <c r="AB41" s="67"/>
      <c r="AC41" s="67">
        <v>1</v>
      </c>
      <c r="AD41" s="67">
        <v>0.5</v>
      </c>
      <c r="AE41" s="67"/>
      <c r="AF41" s="67"/>
      <c r="AG41" s="69"/>
      <c r="AH41" s="28">
        <f t="shared" si="22"/>
        <v>13</v>
      </c>
      <c r="AI41" s="66"/>
      <c r="AJ41" s="67"/>
      <c r="AK41" s="67"/>
      <c r="AL41" s="67"/>
      <c r="AM41" s="67"/>
      <c r="AN41" s="30">
        <f t="shared" si="2"/>
        <v>0</v>
      </c>
      <c r="AO41" s="70"/>
      <c r="AP41" s="70"/>
      <c r="AQ41" s="33">
        <f t="shared" si="3"/>
        <v>0</v>
      </c>
      <c r="AR41" s="60">
        <f t="shared" si="17"/>
        <v>37</v>
      </c>
      <c r="AS41" s="343">
        <f t="shared" si="18"/>
        <v>17</v>
      </c>
      <c r="AT41" s="355">
        <v>40.383333333333333</v>
      </c>
      <c r="AU41" s="356">
        <f t="shared" si="19"/>
        <v>16</v>
      </c>
      <c r="AV41" s="357">
        <f t="shared" si="20"/>
        <v>0</v>
      </c>
      <c r="AW41" s="358">
        <f t="shared" si="21"/>
        <v>0</v>
      </c>
      <c r="AX41" s="356">
        <f t="shared" si="9"/>
        <v>24.383333333333333</v>
      </c>
      <c r="AY41" s="359">
        <f t="shared" si="11"/>
        <v>0.39620305406520845</v>
      </c>
      <c r="AZ41" s="360">
        <f t="shared" si="10"/>
        <v>0.60379694593479161</v>
      </c>
      <c r="BA41" s="287">
        <v>1619300</v>
      </c>
      <c r="BB41" s="287">
        <f t="shared" si="12"/>
        <v>29987.037037037036</v>
      </c>
    </row>
    <row r="42" spans="1:54" ht="15.75" thickBot="1" x14ac:dyDescent="0.3">
      <c r="A42" s="17" t="s">
        <v>388</v>
      </c>
      <c r="B42" s="17" t="s">
        <v>389</v>
      </c>
      <c r="C42" s="18" t="s">
        <v>98</v>
      </c>
      <c r="D42" s="18"/>
      <c r="E42" s="18"/>
      <c r="F42" s="18"/>
      <c r="G42" s="19"/>
      <c r="H42" s="19"/>
      <c r="I42" s="20"/>
      <c r="J42" s="20"/>
      <c r="K42" s="20"/>
      <c r="L42" s="72">
        <v>8</v>
      </c>
      <c r="M42" s="22">
        <v>0</v>
      </c>
      <c r="N42" s="22"/>
      <c r="O42" s="22"/>
      <c r="P42" s="22"/>
      <c r="Q42" s="22"/>
      <c r="R42" s="23" t="str">
        <f>IF(G42="x",1,"")</f>
        <v/>
      </c>
      <c r="S42" s="24">
        <f t="shared" si="0"/>
        <v>0</v>
      </c>
      <c r="T42" s="25">
        <f>IF($C42="",0,VLOOKUP($C42,[2]Hoja1!$C$11:$D$27,2,FALSE)*M42)+IF($D42="",0,VLOOKUP($D42,[2]Hoja1!$C$11:$D$27,2,FALSE)*N42)+IF($F42="",0,VLOOKUP($F42,[2]Hoja1!$C$11:$D$27,2,FALSE)*P42)+IF(R42="",0,R42*0.5)</f>
        <v>0</v>
      </c>
      <c r="U42" s="22" t="str">
        <f t="shared" si="16"/>
        <v/>
      </c>
      <c r="V42" s="22" t="s">
        <v>291</v>
      </c>
      <c r="W42" s="26">
        <v>1.5</v>
      </c>
      <c r="X42" s="22"/>
      <c r="Y42" s="22"/>
      <c r="Z42" s="22"/>
      <c r="AA42" s="22"/>
      <c r="AB42" s="22"/>
      <c r="AC42" s="22"/>
      <c r="AD42" s="22"/>
      <c r="AE42" s="22"/>
      <c r="AF42" s="22"/>
      <c r="AG42" s="29"/>
      <c r="AH42" s="28">
        <f t="shared" si="22"/>
        <v>1.5</v>
      </c>
      <c r="AI42" s="22"/>
      <c r="AJ42" s="22"/>
      <c r="AK42" s="22"/>
      <c r="AL42" s="22"/>
      <c r="AM42" s="22"/>
      <c r="AN42" s="30">
        <f t="shared" si="2"/>
        <v>0</v>
      </c>
      <c r="AO42" s="39"/>
      <c r="AP42" s="39"/>
      <c r="AQ42" s="33">
        <f t="shared" si="3"/>
        <v>0</v>
      </c>
      <c r="AR42" s="60">
        <f t="shared" si="17"/>
        <v>1.5</v>
      </c>
      <c r="AS42" s="343">
        <f t="shared" si="18"/>
        <v>6.5</v>
      </c>
      <c r="AT42" s="355">
        <v>2.0666666666666669</v>
      </c>
      <c r="AU42" s="368">
        <f t="shared" si="19"/>
        <v>0</v>
      </c>
      <c r="AV42" s="357">
        <f t="shared" si="20"/>
        <v>0</v>
      </c>
      <c r="AW42" s="358">
        <f t="shared" si="21"/>
        <v>0</v>
      </c>
      <c r="AX42" s="356">
        <f t="shared" si="9"/>
        <v>2.0666666666666669</v>
      </c>
      <c r="AY42" s="359"/>
      <c r="AZ42" s="360"/>
      <c r="BA42" s="287">
        <v>481750</v>
      </c>
      <c r="BB42" s="287">
        <f t="shared" si="12"/>
        <v>60218.75</v>
      </c>
    </row>
    <row r="43" spans="1:54" ht="15.75" thickBot="1" x14ac:dyDescent="0.3">
      <c r="A43" s="17" t="s">
        <v>390</v>
      </c>
      <c r="B43" s="17" t="s">
        <v>391</v>
      </c>
      <c r="C43" s="61" t="s">
        <v>99</v>
      </c>
      <c r="D43" s="62"/>
      <c r="E43" s="62"/>
      <c r="F43" s="62"/>
      <c r="G43" s="63" t="s">
        <v>57</v>
      </c>
      <c r="H43" s="63" t="s">
        <v>57</v>
      </c>
      <c r="I43" s="64"/>
      <c r="J43" s="64"/>
      <c r="K43" s="64" t="s">
        <v>296</v>
      </c>
      <c r="L43" s="65">
        <v>54</v>
      </c>
      <c r="M43" s="66">
        <v>14</v>
      </c>
      <c r="N43" s="67"/>
      <c r="O43" s="67"/>
      <c r="P43" s="67">
        <v>6</v>
      </c>
      <c r="Q43" s="67"/>
      <c r="R43" s="67">
        <v>1</v>
      </c>
      <c r="S43" s="24">
        <f t="shared" si="0"/>
        <v>21</v>
      </c>
      <c r="T43" s="25">
        <f>IF($C43="",0,VLOOKUP($C43,[2]Hoja1!$C$11:$D$27,2,FALSE)*M43)+IF($D43="",0,VLOOKUP($D43,[2]Hoja1!$C$11:$D$27,2,FALSE)*N43)+IF($F43="",0,VLOOKUP($F43,[2]Hoja1!$C$11:$D$27,2,FALSE)*P43)+IF(R43="",0,R43*0.5)</f>
        <v>4.7</v>
      </c>
      <c r="U43" s="22">
        <f t="shared" si="16"/>
        <v>4</v>
      </c>
      <c r="V43" s="67">
        <v>4</v>
      </c>
      <c r="W43" s="68">
        <v>1.5</v>
      </c>
      <c r="X43" s="67"/>
      <c r="Y43" s="67"/>
      <c r="Z43" s="67"/>
      <c r="AA43" s="67"/>
      <c r="AB43" s="67">
        <v>2</v>
      </c>
      <c r="AC43" s="67">
        <v>1</v>
      </c>
      <c r="AD43" s="67">
        <v>0.5</v>
      </c>
      <c r="AE43" s="67"/>
      <c r="AF43" s="67">
        <v>1</v>
      </c>
      <c r="AG43" s="69" t="s">
        <v>297</v>
      </c>
      <c r="AH43" s="28">
        <f t="shared" si="22"/>
        <v>18.7</v>
      </c>
      <c r="AI43" s="66"/>
      <c r="AJ43" s="67">
        <v>10</v>
      </c>
      <c r="AK43" s="67"/>
      <c r="AL43" s="67"/>
      <c r="AM43" s="67"/>
      <c r="AN43" s="30">
        <f t="shared" si="2"/>
        <v>10</v>
      </c>
      <c r="AO43" s="70"/>
      <c r="AP43" s="70"/>
      <c r="AQ43" s="33">
        <f t="shared" si="3"/>
        <v>0</v>
      </c>
      <c r="AR43" s="60">
        <f t="shared" si="17"/>
        <v>49.7</v>
      </c>
      <c r="AS43" s="343">
        <f t="shared" si="18"/>
        <v>4.2999999999999972</v>
      </c>
      <c r="AT43" s="355">
        <v>40.333333333333336</v>
      </c>
      <c r="AU43" s="356">
        <f t="shared" si="19"/>
        <v>15.333333333333334</v>
      </c>
      <c r="AV43" s="357">
        <f t="shared" si="20"/>
        <v>6.666666666666667</v>
      </c>
      <c r="AW43" s="358">
        <f t="shared" si="21"/>
        <v>0</v>
      </c>
      <c r="AX43" s="356">
        <f t="shared" si="9"/>
        <v>18.333333333333332</v>
      </c>
      <c r="AY43" s="359">
        <f t="shared" si="11"/>
        <v>0.45544554455445552</v>
      </c>
      <c r="AZ43" s="360">
        <f t="shared" si="10"/>
        <v>0.54455445544554459</v>
      </c>
      <c r="BA43" s="287">
        <v>3156480</v>
      </c>
      <c r="BB43" s="287">
        <f t="shared" si="12"/>
        <v>58453.333333333336</v>
      </c>
    </row>
    <row r="44" spans="1:54" ht="15.75" thickBot="1" x14ac:dyDescent="0.3">
      <c r="A44" s="17" t="s">
        <v>392</v>
      </c>
      <c r="B44" s="17" t="s">
        <v>393</v>
      </c>
      <c r="C44" s="18" t="s">
        <v>114</v>
      </c>
      <c r="D44" s="18" t="s">
        <v>98</v>
      </c>
      <c r="E44" s="18"/>
      <c r="F44" s="18"/>
      <c r="G44" s="19" t="s">
        <v>57</v>
      </c>
      <c r="H44" s="19"/>
      <c r="I44" s="20"/>
      <c r="J44" s="20"/>
      <c r="K44" s="20"/>
      <c r="L44" s="72">
        <v>54</v>
      </c>
      <c r="M44" s="22">
        <v>22</v>
      </c>
      <c r="N44" s="22"/>
      <c r="O44" s="22"/>
      <c r="P44" s="22"/>
      <c r="Q44" s="22"/>
      <c r="R44" s="23">
        <v>1</v>
      </c>
      <c r="S44" s="24">
        <f t="shared" si="0"/>
        <v>23</v>
      </c>
      <c r="T44" s="25">
        <f>IF($C44="",0,VLOOKUP($C44,[2]Hoja1!$C$11:$D$27,2,FALSE)*M44)+IF($D44="",0,VLOOKUP($D44,[2]Hoja1!$C$11:$D$27,2,FALSE)*N44)+IF($F44="",0,VLOOKUP($F44,[2]Hoja1!$C$11:$D$27,2,FALSE)*P44)+IF(R44="",0,R44*0.5)</f>
        <v>11.5</v>
      </c>
      <c r="U44" s="22">
        <v>5</v>
      </c>
      <c r="V44" s="22">
        <v>0</v>
      </c>
      <c r="W44" s="26">
        <v>1.5</v>
      </c>
      <c r="X44" s="22">
        <v>2</v>
      </c>
      <c r="Y44" s="22"/>
      <c r="Z44" s="22"/>
      <c r="AA44" s="22"/>
      <c r="AB44" s="22"/>
      <c r="AC44" s="22">
        <v>2</v>
      </c>
      <c r="AD44" s="22">
        <v>1</v>
      </c>
      <c r="AE44" s="22"/>
      <c r="AF44" s="22">
        <v>3</v>
      </c>
      <c r="AG44" s="29" t="s">
        <v>394</v>
      </c>
      <c r="AH44" s="28">
        <f t="shared" si="22"/>
        <v>26</v>
      </c>
      <c r="AI44" s="22"/>
      <c r="AJ44" s="22"/>
      <c r="AK44" s="22"/>
      <c r="AL44" s="22"/>
      <c r="AM44" s="22"/>
      <c r="AN44" s="30">
        <f t="shared" si="2"/>
        <v>0</v>
      </c>
      <c r="AO44" s="39"/>
      <c r="AP44" s="39"/>
      <c r="AQ44" s="33">
        <f t="shared" si="3"/>
        <v>0</v>
      </c>
      <c r="AR44" s="60">
        <f t="shared" si="17"/>
        <v>49</v>
      </c>
      <c r="AS44" s="343">
        <f t="shared" si="18"/>
        <v>5</v>
      </c>
      <c r="AT44" s="355">
        <v>40.366666666666667</v>
      </c>
      <c r="AU44" s="356">
        <f t="shared" si="19"/>
        <v>15.333333333333334</v>
      </c>
      <c r="AV44" s="357">
        <f t="shared" si="20"/>
        <v>0</v>
      </c>
      <c r="AW44" s="358">
        <f t="shared" si="21"/>
        <v>0</v>
      </c>
      <c r="AX44" s="356">
        <f t="shared" si="9"/>
        <v>25.033333333333331</v>
      </c>
      <c r="AY44" s="359">
        <f t="shared" si="11"/>
        <v>0.37985136251032203</v>
      </c>
      <c r="AZ44" s="360">
        <f t="shared" si="10"/>
        <v>0.62014863748967786</v>
      </c>
      <c r="BA44" s="287">
        <v>1934804</v>
      </c>
      <c r="BB44" s="287">
        <f t="shared" si="12"/>
        <v>35829.703703703701</v>
      </c>
    </row>
    <row r="45" spans="1:54" ht="15.75" thickBot="1" x14ac:dyDescent="0.3">
      <c r="A45" s="17" t="s">
        <v>395</v>
      </c>
      <c r="B45" s="17" t="s">
        <v>396</v>
      </c>
      <c r="C45" s="18" t="s">
        <v>114</v>
      </c>
      <c r="D45" s="18"/>
      <c r="E45" s="18"/>
      <c r="F45" s="18"/>
      <c r="G45" s="19" t="s">
        <v>57</v>
      </c>
      <c r="H45" s="19"/>
      <c r="I45" s="20"/>
      <c r="J45" s="20"/>
      <c r="K45" s="20"/>
      <c r="L45" s="72">
        <v>54</v>
      </c>
      <c r="M45" s="22">
        <v>22</v>
      </c>
      <c r="N45" s="22"/>
      <c r="O45" s="22"/>
      <c r="P45" s="22"/>
      <c r="Q45" s="22"/>
      <c r="R45" s="23">
        <v>2</v>
      </c>
      <c r="S45" s="24">
        <f t="shared" si="0"/>
        <v>24</v>
      </c>
      <c r="T45" s="25">
        <f>IF($C45="",0,VLOOKUP($C45,[2]Hoja1!$C$11:$D$27,2,FALSE)*M45)+IF($D45="",0,VLOOKUP($D45,[2]Hoja1!$C$11:$D$27,2,FALSE)*N45)+IF($F45="",0,VLOOKUP($F45,[2]Hoja1!$C$11:$D$27,2,FALSE)*P45)+IF(R45="",0,R45*0.5)</f>
        <v>12</v>
      </c>
      <c r="U45" s="22">
        <v>5</v>
      </c>
      <c r="V45" s="22">
        <v>0</v>
      </c>
      <c r="W45" s="26">
        <v>1.5</v>
      </c>
      <c r="X45" s="22"/>
      <c r="Y45" s="22"/>
      <c r="Z45" s="22"/>
      <c r="AA45" s="22"/>
      <c r="AB45" s="22"/>
      <c r="AC45" s="22">
        <v>2</v>
      </c>
      <c r="AD45" s="22">
        <v>1</v>
      </c>
      <c r="AE45" s="22"/>
      <c r="AF45" s="22">
        <v>5</v>
      </c>
      <c r="AG45" s="29" t="s">
        <v>397</v>
      </c>
      <c r="AH45" s="28">
        <f t="shared" si="22"/>
        <v>26.5</v>
      </c>
      <c r="AI45" s="22"/>
      <c r="AJ45" s="22"/>
      <c r="AK45" s="22"/>
      <c r="AL45" s="22"/>
      <c r="AM45" s="22"/>
      <c r="AN45" s="30">
        <f t="shared" si="2"/>
        <v>0</v>
      </c>
      <c r="AO45" s="39"/>
      <c r="AP45" s="39"/>
      <c r="AQ45" s="33">
        <f t="shared" si="3"/>
        <v>0</v>
      </c>
      <c r="AR45" s="60">
        <f t="shared" si="17"/>
        <v>50.5</v>
      </c>
      <c r="AS45" s="343">
        <f t="shared" si="18"/>
        <v>3.5</v>
      </c>
      <c r="AT45" s="355">
        <v>40.366666666666667</v>
      </c>
      <c r="AU45" s="356">
        <f t="shared" si="19"/>
        <v>16</v>
      </c>
      <c r="AV45" s="357">
        <f t="shared" si="20"/>
        <v>0</v>
      </c>
      <c r="AW45" s="358">
        <f t="shared" si="21"/>
        <v>0</v>
      </c>
      <c r="AX45" s="356">
        <f t="shared" si="9"/>
        <v>24.366666666666667</v>
      </c>
      <c r="AY45" s="359">
        <f t="shared" si="11"/>
        <v>0.39636663914120562</v>
      </c>
      <c r="AZ45" s="360">
        <f t="shared" si="10"/>
        <v>0.60363336085879438</v>
      </c>
      <c r="BA45" s="287">
        <v>2073362</v>
      </c>
      <c r="BB45" s="287">
        <f t="shared" si="12"/>
        <v>38395.592592592591</v>
      </c>
    </row>
    <row r="46" spans="1:54" ht="15.75" thickBot="1" x14ac:dyDescent="0.3">
      <c r="A46" s="17" t="s">
        <v>398</v>
      </c>
      <c r="B46" s="17" t="s">
        <v>399</v>
      </c>
      <c r="C46" s="18" t="s">
        <v>56</v>
      </c>
      <c r="D46" s="19" t="s">
        <v>54</v>
      </c>
      <c r="E46" s="19"/>
      <c r="F46" s="18"/>
      <c r="G46" s="19" t="s">
        <v>57</v>
      </c>
      <c r="H46" s="19"/>
      <c r="I46" s="20"/>
      <c r="J46" s="20"/>
      <c r="K46" s="20" t="s">
        <v>349</v>
      </c>
      <c r="L46" s="72">
        <v>54</v>
      </c>
      <c r="M46" s="22">
        <v>10</v>
      </c>
      <c r="N46" s="22">
        <v>4</v>
      </c>
      <c r="O46" s="22"/>
      <c r="P46" s="22"/>
      <c r="Q46" s="22"/>
      <c r="R46" s="23">
        <v>2</v>
      </c>
      <c r="S46" s="24">
        <f t="shared" si="0"/>
        <v>16</v>
      </c>
      <c r="T46" s="25">
        <f>IF($C46="",0,VLOOKUP($C46,[2]Hoja1!$C$11:$D$27,2,FALSE)*M46)+IF($D46="",0,VLOOKUP($D46,[2]Hoja1!$C$11:$D$27,2,FALSE)*N46)+IF($F46="",0,VLOOKUP($F46,[2]Hoja1!$C$11:$D$27,2,FALSE)*P46)+IF(R46="",0,R46*0.5)</f>
        <v>8</v>
      </c>
      <c r="U46" s="22">
        <f t="shared" ref="U46:U52" si="23">IF(G46="x",4,"")</f>
        <v>4</v>
      </c>
      <c r="V46" s="22">
        <v>4</v>
      </c>
      <c r="W46" s="26">
        <v>1.5</v>
      </c>
      <c r="X46" s="22"/>
      <c r="Y46" s="22"/>
      <c r="Z46" s="22"/>
      <c r="AA46" s="22"/>
      <c r="AB46" s="22">
        <v>3</v>
      </c>
      <c r="AC46" s="22">
        <v>1</v>
      </c>
      <c r="AD46" s="22">
        <v>1</v>
      </c>
      <c r="AE46" s="22"/>
      <c r="AF46" s="22">
        <v>4</v>
      </c>
      <c r="AG46" s="29" t="s">
        <v>400</v>
      </c>
      <c r="AH46" s="28">
        <f t="shared" si="22"/>
        <v>26.5</v>
      </c>
      <c r="AI46" s="22"/>
      <c r="AJ46" s="22"/>
      <c r="AK46" s="22"/>
      <c r="AL46" s="22"/>
      <c r="AM46" s="22"/>
      <c r="AN46" s="30">
        <f t="shared" si="2"/>
        <v>0</v>
      </c>
      <c r="AO46" s="39"/>
      <c r="AP46" s="39"/>
      <c r="AQ46" s="33">
        <f t="shared" si="3"/>
        <v>0</v>
      </c>
      <c r="AR46" s="60">
        <f t="shared" si="17"/>
        <v>42.5</v>
      </c>
      <c r="AS46" s="343">
        <f t="shared" si="18"/>
        <v>11.5</v>
      </c>
      <c r="AT46" s="355">
        <v>40.25</v>
      </c>
      <c r="AU46" s="356">
        <f t="shared" si="19"/>
        <v>12.666666666666666</v>
      </c>
      <c r="AV46" s="357">
        <f t="shared" si="20"/>
        <v>0</v>
      </c>
      <c r="AW46" s="358">
        <f t="shared" si="21"/>
        <v>0</v>
      </c>
      <c r="AX46" s="356">
        <f t="shared" si="9"/>
        <v>27.583333333333336</v>
      </c>
      <c r="AY46" s="359">
        <f t="shared" si="11"/>
        <v>0.31469979296066253</v>
      </c>
      <c r="AZ46" s="360">
        <f t="shared" si="10"/>
        <v>0.68530020703933758</v>
      </c>
      <c r="BA46" s="287">
        <v>1447300</v>
      </c>
      <c r="BB46" s="287">
        <f t="shared" si="12"/>
        <v>26801.85185185185</v>
      </c>
    </row>
    <row r="47" spans="1:54" ht="15.75" thickBot="1" x14ac:dyDescent="0.3">
      <c r="A47" s="17" t="s">
        <v>401</v>
      </c>
      <c r="B47" s="17" t="s">
        <v>402</v>
      </c>
      <c r="C47" s="18" t="s">
        <v>56</v>
      </c>
      <c r="D47" s="18"/>
      <c r="E47" s="18"/>
      <c r="F47" s="18"/>
      <c r="G47" s="19"/>
      <c r="H47" s="19"/>
      <c r="I47" s="20"/>
      <c r="J47" s="20"/>
      <c r="K47" s="20"/>
      <c r="L47" s="72">
        <v>6</v>
      </c>
      <c r="M47" s="22">
        <v>4</v>
      </c>
      <c r="N47" s="22"/>
      <c r="O47" s="22"/>
      <c r="P47" s="22"/>
      <c r="Q47" s="22"/>
      <c r="R47" s="23" t="str">
        <f>IF(G47="x",1,"")</f>
        <v/>
      </c>
      <c r="S47" s="24">
        <f t="shared" si="0"/>
        <v>4</v>
      </c>
      <c r="T47" s="25">
        <f>IF($C47="",0,VLOOKUP($C47,[2]Hoja1!$C$11:$D$27,2,FALSE)*M47)+IF($D47="",0,VLOOKUP($D47,[2]Hoja1!$C$11:$D$27,2,FALSE)*N47)+IF($F47="",0,VLOOKUP($F47,[2]Hoja1!$C$11:$D$27,2,FALSE)*P47)+IF(R47="",0,R47*0.5)</f>
        <v>2</v>
      </c>
      <c r="U47" s="22" t="str">
        <f t="shared" si="23"/>
        <v/>
      </c>
      <c r="V47" s="22" t="s">
        <v>291</v>
      </c>
      <c r="W47" s="26">
        <v>1.5</v>
      </c>
      <c r="X47" s="22"/>
      <c r="Y47" s="22"/>
      <c r="Z47" s="22"/>
      <c r="AA47" s="22"/>
      <c r="AB47" s="22"/>
      <c r="AC47" s="22"/>
      <c r="AD47" s="22"/>
      <c r="AE47" s="22"/>
      <c r="AF47" s="22"/>
      <c r="AG47" s="29"/>
      <c r="AH47" s="28">
        <f t="shared" si="22"/>
        <v>3.5</v>
      </c>
      <c r="AI47" s="22"/>
      <c r="AJ47" s="22"/>
      <c r="AK47" s="22"/>
      <c r="AL47" s="22"/>
      <c r="AM47" s="22"/>
      <c r="AN47" s="30">
        <f t="shared" si="2"/>
        <v>0</v>
      </c>
      <c r="AO47" s="39"/>
      <c r="AP47" s="39"/>
      <c r="AQ47" s="33">
        <f t="shared" si="3"/>
        <v>0</v>
      </c>
      <c r="AR47" s="60">
        <f t="shared" si="17"/>
        <v>7.5</v>
      </c>
      <c r="AS47" s="343">
        <f t="shared" si="18"/>
        <v>-1.5</v>
      </c>
      <c r="AT47" s="355">
        <v>4.0666666666666664</v>
      </c>
      <c r="AU47" s="356">
        <f t="shared" si="19"/>
        <v>2.6666666666666665</v>
      </c>
      <c r="AV47" s="357">
        <f t="shared" si="20"/>
        <v>0</v>
      </c>
      <c r="AW47" s="358">
        <f t="shared" si="21"/>
        <v>0</v>
      </c>
      <c r="AX47" s="356">
        <f t="shared" si="9"/>
        <v>1.4</v>
      </c>
      <c r="AY47" s="359">
        <f t="shared" si="11"/>
        <v>0.65573770491803274</v>
      </c>
      <c r="AZ47" s="360">
        <f t="shared" si="10"/>
        <v>0.34426229508196721</v>
      </c>
      <c r="BA47" s="287">
        <v>476374</v>
      </c>
      <c r="BB47" s="287">
        <f t="shared" si="12"/>
        <v>79395.666666666672</v>
      </c>
    </row>
    <row r="48" spans="1:54" ht="15.75" thickBot="1" x14ac:dyDescent="0.3">
      <c r="A48" s="17" t="s">
        <v>403</v>
      </c>
      <c r="B48" s="17" t="s">
        <v>404</v>
      </c>
      <c r="C48" s="18" t="s">
        <v>114</v>
      </c>
      <c r="D48" s="18" t="s">
        <v>98</v>
      </c>
      <c r="E48" s="18"/>
      <c r="F48" s="18"/>
      <c r="G48" s="19"/>
      <c r="H48" s="19"/>
      <c r="I48" s="20"/>
      <c r="J48" s="20"/>
      <c r="K48" s="20"/>
      <c r="L48" s="72">
        <v>54</v>
      </c>
      <c r="M48" s="22">
        <v>28</v>
      </c>
      <c r="N48" s="22"/>
      <c r="O48" s="22"/>
      <c r="P48" s="22"/>
      <c r="Q48" s="22">
        <v>2</v>
      </c>
      <c r="R48" s="23" t="str">
        <f>IF(G48="x",1,"")</f>
        <v/>
      </c>
      <c r="S48" s="24">
        <f t="shared" si="0"/>
        <v>30</v>
      </c>
      <c r="T48" s="25">
        <f>IF($C48="",0,VLOOKUP($C48,[2]Hoja1!$C$11:$D$27,2,FALSE)*M48)+IF($D48="",0,VLOOKUP($D48,[2]Hoja1!$C$11:$D$27,2,FALSE)*N48)+IF($F48="",0,VLOOKUP($F48,[2]Hoja1!$C$11:$D$27,2,FALSE)*P48)+IF(R48="",0,R48*0.5)</f>
        <v>14</v>
      </c>
      <c r="U48" s="22" t="str">
        <f t="shared" si="23"/>
        <v/>
      </c>
      <c r="V48" s="22" t="s">
        <v>291</v>
      </c>
      <c r="W48" s="26">
        <v>1.5</v>
      </c>
      <c r="X48" s="22"/>
      <c r="Y48" s="22"/>
      <c r="Z48" s="22"/>
      <c r="AA48" s="22"/>
      <c r="AB48" s="22"/>
      <c r="AC48" s="22">
        <v>2</v>
      </c>
      <c r="AD48" s="22">
        <v>1</v>
      </c>
      <c r="AE48" s="22">
        <v>1</v>
      </c>
      <c r="AF48" s="22">
        <v>1</v>
      </c>
      <c r="AG48" s="29" t="s">
        <v>297</v>
      </c>
      <c r="AH48" s="28">
        <f t="shared" si="22"/>
        <v>20.5</v>
      </c>
      <c r="AI48" s="22"/>
      <c r="AJ48" s="22"/>
      <c r="AK48" s="22"/>
      <c r="AL48" s="22"/>
      <c r="AM48" s="22"/>
      <c r="AN48" s="30">
        <f t="shared" si="2"/>
        <v>0</v>
      </c>
      <c r="AO48" s="39"/>
      <c r="AP48" s="39"/>
      <c r="AQ48" s="33">
        <f t="shared" si="3"/>
        <v>0</v>
      </c>
      <c r="AR48" s="60">
        <f t="shared" si="17"/>
        <v>50.5</v>
      </c>
      <c r="AS48" s="343">
        <f t="shared" si="18"/>
        <v>3.5</v>
      </c>
      <c r="AT48" s="355">
        <v>40.466666666666669</v>
      </c>
      <c r="AU48" s="356">
        <f t="shared" si="19"/>
        <v>20</v>
      </c>
      <c r="AV48" s="357">
        <f t="shared" si="20"/>
        <v>0</v>
      </c>
      <c r="AW48" s="358">
        <f t="shared" si="21"/>
        <v>0</v>
      </c>
      <c r="AX48" s="356">
        <f t="shared" si="9"/>
        <v>20.466666666666669</v>
      </c>
      <c r="AY48" s="359">
        <f t="shared" si="11"/>
        <v>0.49423393739703458</v>
      </c>
      <c r="AZ48" s="360">
        <f t="shared" si="10"/>
        <v>0.50576606260296542</v>
      </c>
      <c r="BA48" s="287">
        <v>1865500</v>
      </c>
      <c r="BB48" s="287">
        <f t="shared" si="12"/>
        <v>34546.296296296299</v>
      </c>
    </row>
    <row r="49" spans="1:54" ht="15.75" thickBot="1" x14ac:dyDescent="0.3">
      <c r="A49" s="17" t="s">
        <v>405</v>
      </c>
      <c r="B49" s="17" t="s">
        <v>406</v>
      </c>
      <c r="C49" s="61" t="s">
        <v>109</v>
      </c>
      <c r="D49" s="62"/>
      <c r="E49" s="62"/>
      <c r="F49" s="62"/>
      <c r="G49" s="63"/>
      <c r="H49" s="63"/>
      <c r="I49" s="64"/>
      <c r="J49" s="64"/>
      <c r="K49" s="64" t="s">
        <v>296</v>
      </c>
      <c r="L49" s="65">
        <v>54</v>
      </c>
      <c r="M49" s="66">
        <v>24</v>
      </c>
      <c r="N49" s="67"/>
      <c r="O49" s="67"/>
      <c r="P49" s="67"/>
      <c r="Q49" s="67"/>
      <c r="R49" s="67"/>
      <c r="S49" s="24">
        <f t="shared" si="0"/>
        <v>24</v>
      </c>
      <c r="T49" s="25">
        <f>IF($C49="",0,VLOOKUP($C49,[2]Hoja1!$C$11:$D$27,2,FALSE)*M49)+IF($D49="",0,VLOOKUP($D49,[2]Hoja1!$C$11:$D$27,2,FALSE)*N49)+IF($F49="",0,VLOOKUP($F49,[2]Hoja1!$C$11:$D$27,2,FALSE)*P49)+IF(R49="",0,R49*0.5)</f>
        <v>12</v>
      </c>
      <c r="U49" s="22" t="str">
        <f t="shared" si="23"/>
        <v/>
      </c>
      <c r="V49" s="67"/>
      <c r="W49" s="68">
        <v>1.5</v>
      </c>
      <c r="X49" s="67"/>
      <c r="Y49" s="67"/>
      <c r="Z49" s="67"/>
      <c r="AA49" s="67"/>
      <c r="AB49" s="67"/>
      <c r="AC49" s="67">
        <v>1</v>
      </c>
      <c r="AD49" s="67">
        <v>0.5</v>
      </c>
      <c r="AE49" s="67"/>
      <c r="AF49" s="67"/>
      <c r="AG49" s="69"/>
      <c r="AH49" s="28">
        <f t="shared" si="22"/>
        <v>15</v>
      </c>
      <c r="AI49" s="66"/>
      <c r="AJ49" s="67"/>
      <c r="AK49" s="67"/>
      <c r="AL49" s="67"/>
      <c r="AM49" s="67"/>
      <c r="AN49" s="30">
        <f t="shared" si="2"/>
        <v>0</v>
      </c>
      <c r="AO49" s="70"/>
      <c r="AP49" s="70"/>
      <c r="AQ49" s="33">
        <f t="shared" si="3"/>
        <v>0</v>
      </c>
      <c r="AR49" s="60">
        <f t="shared" si="17"/>
        <v>39</v>
      </c>
      <c r="AS49" s="343">
        <f t="shared" si="18"/>
        <v>15</v>
      </c>
      <c r="AT49" s="355">
        <v>40.35</v>
      </c>
      <c r="AU49" s="356">
        <f t="shared" si="19"/>
        <v>16</v>
      </c>
      <c r="AV49" s="357">
        <f t="shared" si="20"/>
        <v>0</v>
      </c>
      <c r="AW49" s="358">
        <f t="shared" si="21"/>
        <v>0</v>
      </c>
      <c r="AX49" s="356">
        <f t="shared" si="9"/>
        <v>24.35</v>
      </c>
      <c r="AY49" s="359">
        <f t="shared" si="11"/>
        <v>0.39653035935563813</v>
      </c>
      <c r="AZ49" s="360">
        <f t="shared" si="10"/>
        <v>0.60346964064436182</v>
      </c>
      <c r="BA49" s="287">
        <v>3084742</v>
      </c>
      <c r="BB49" s="287">
        <f t="shared" si="12"/>
        <v>57124.851851851854</v>
      </c>
    </row>
    <row r="50" spans="1:54" ht="15.75" thickBot="1" x14ac:dyDescent="0.3">
      <c r="A50" s="17" t="s">
        <v>407</v>
      </c>
      <c r="B50" s="71" t="s">
        <v>408</v>
      </c>
      <c r="C50" s="18" t="s">
        <v>61</v>
      </c>
      <c r="D50" s="19" t="s">
        <v>56</v>
      </c>
      <c r="E50" s="19"/>
      <c r="F50" s="18"/>
      <c r="G50" s="19" t="s">
        <v>57</v>
      </c>
      <c r="H50" s="19"/>
      <c r="I50" s="20" t="s">
        <v>57</v>
      </c>
      <c r="J50" s="45" t="s">
        <v>205</v>
      </c>
      <c r="K50" s="20" t="s">
        <v>318</v>
      </c>
      <c r="L50" s="72">
        <v>54</v>
      </c>
      <c r="M50" s="22">
        <v>9</v>
      </c>
      <c r="N50" s="22">
        <v>3</v>
      </c>
      <c r="O50" s="22"/>
      <c r="P50" s="22"/>
      <c r="Q50" s="22"/>
      <c r="R50" s="23">
        <v>2</v>
      </c>
      <c r="S50" s="24">
        <f t="shared" si="0"/>
        <v>14</v>
      </c>
      <c r="T50" s="25">
        <f>IF($C50="",0,VLOOKUP($C50,[2]Hoja1!$C$11:$D$27,2,FALSE)*M50)+IF($D50="",0,VLOOKUP($D50,[2]Hoja1!$C$11:$D$27,2,FALSE)*N50)+IF($F50="",0,VLOOKUP($F50,[2]Hoja1!$C$11:$D$27,2,FALSE)*P50)+IF(R50="",0,R50*0.5)</f>
        <v>7</v>
      </c>
      <c r="U50" s="22">
        <f t="shared" si="23"/>
        <v>4</v>
      </c>
      <c r="V50" s="22">
        <v>4</v>
      </c>
      <c r="W50" s="26">
        <v>1.5</v>
      </c>
      <c r="X50" s="22"/>
      <c r="Y50" s="22"/>
      <c r="Z50" s="22"/>
      <c r="AA50" s="22">
        <v>4</v>
      </c>
      <c r="AB50" s="22">
        <v>3</v>
      </c>
      <c r="AC50" s="22">
        <v>2</v>
      </c>
      <c r="AD50" s="22">
        <v>0.5</v>
      </c>
      <c r="AE50" s="22"/>
      <c r="AF50" s="22">
        <v>1</v>
      </c>
      <c r="AG50" s="29" t="s">
        <v>297</v>
      </c>
      <c r="AH50" s="28">
        <f t="shared" si="22"/>
        <v>27</v>
      </c>
      <c r="AI50" s="170">
        <v>20</v>
      </c>
      <c r="AJ50" s="170"/>
      <c r="AK50" s="22"/>
      <c r="AL50" s="22"/>
      <c r="AM50" s="22"/>
      <c r="AN50" s="30">
        <f t="shared" si="2"/>
        <v>20</v>
      </c>
      <c r="AO50" s="39"/>
      <c r="AP50" s="39"/>
      <c r="AQ50" s="33">
        <f t="shared" si="3"/>
        <v>0</v>
      </c>
      <c r="AR50" s="60">
        <f t="shared" si="17"/>
        <v>61</v>
      </c>
      <c r="AS50" s="343">
        <f t="shared" si="18"/>
        <v>-7</v>
      </c>
      <c r="AT50" s="355">
        <v>40.200000000000003</v>
      </c>
      <c r="AU50" s="356">
        <f t="shared" si="19"/>
        <v>11.333333333333334</v>
      </c>
      <c r="AV50" s="357">
        <f t="shared" si="20"/>
        <v>13.333333333333334</v>
      </c>
      <c r="AW50" s="358">
        <f t="shared" si="21"/>
        <v>0</v>
      </c>
      <c r="AX50" s="356">
        <f t="shared" si="9"/>
        <v>15.533333333333333</v>
      </c>
      <c r="AY50" s="359">
        <f t="shared" si="11"/>
        <v>0.42183622828784123</v>
      </c>
      <c r="AZ50" s="360">
        <f t="shared" si="10"/>
        <v>0.57816377171215882</v>
      </c>
      <c r="BA50" s="287">
        <v>3565118</v>
      </c>
      <c r="BB50" s="287">
        <f t="shared" si="12"/>
        <v>66020.703703703708</v>
      </c>
    </row>
    <row r="51" spans="1:54" ht="15.75" thickBot="1" x14ac:dyDescent="0.3">
      <c r="A51" s="17" t="s">
        <v>409</v>
      </c>
      <c r="B51" s="17" t="s">
        <v>410</v>
      </c>
      <c r="C51" s="18" t="s">
        <v>64</v>
      </c>
      <c r="D51" s="18"/>
      <c r="E51" s="18"/>
      <c r="F51" s="18"/>
      <c r="G51" s="19" t="s">
        <v>57</v>
      </c>
      <c r="H51" s="19"/>
      <c r="I51" s="20"/>
      <c r="J51" s="20"/>
      <c r="K51" s="20"/>
      <c r="L51" s="72">
        <v>54</v>
      </c>
      <c r="M51" s="22">
        <v>21</v>
      </c>
      <c r="N51" s="22"/>
      <c r="O51" s="22"/>
      <c r="P51" s="22"/>
      <c r="Q51" s="22"/>
      <c r="R51" s="23">
        <f>IF(G51="x",1,"")</f>
        <v>1</v>
      </c>
      <c r="S51" s="24">
        <f t="shared" si="0"/>
        <v>22</v>
      </c>
      <c r="T51" s="25">
        <f>IF($C51="",0,VLOOKUP($C51,[2]Hoja1!$C$11:$D$27,2,FALSE)*M51)+IF($D51="",0,VLOOKUP($D51,[2]Hoja1!$C$11:$D$27,2,FALSE)*N51)+IF($F51="",0,VLOOKUP($F51,[2]Hoja1!$C$11:$D$27,2,FALSE)*P51)+IF(R51="",0,R51*0.5)</f>
        <v>11</v>
      </c>
      <c r="U51" s="22">
        <f t="shared" si="23"/>
        <v>4</v>
      </c>
      <c r="V51" s="22">
        <v>4</v>
      </c>
      <c r="W51" s="26">
        <v>1.5</v>
      </c>
      <c r="X51" s="22">
        <v>2</v>
      </c>
      <c r="Y51" s="22"/>
      <c r="Z51" s="22"/>
      <c r="AA51" s="22"/>
      <c r="AB51" s="22"/>
      <c r="AC51" s="22">
        <v>2</v>
      </c>
      <c r="AD51" s="22">
        <v>1</v>
      </c>
      <c r="AE51" s="22"/>
      <c r="AF51" s="22">
        <v>8</v>
      </c>
      <c r="AG51" s="29" t="s">
        <v>411</v>
      </c>
      <c r="AH51" s="28">
        <f t="shared" si="22"/>
        <v>33.5</v>
      </c>
      <c r="AI51" s="22"/>
      <c r="AJ51" s="22"/>
      <c r="AK51" s="22"/>
      <c r="AL51" s="22"/>
      <c r="AM51" s="22"/>
      <c r="AN51" s="30">
        <f t="shared" si="2"/>
        <v>0</v>
      </c>
      <c r="AO51" s="39"/>
      <c r="AP51" s="39"/>
      <c r="AQ51" s="33">
        <f t="shared" si="3"/>
        <v>0</v>
      </c>
      <c r="AR51" s="60">
        <f t="shared" si="17"/>
        <v>55.5</v>
      </c>
      <c r="AS51" s="343">
        <f t="shared" si="18"/>
        <v>-1.5</v>
      </c>
      <c r="AT51" s="355">
        <v>40.35</v>
      </c>
      <c r="AU51" s="356">
        <f t="shared" si="19"/>
        <v>14.666666666666666</v>
      </c>
      <c r="AV51" s="357">
        <f t="shared" si="20"/>
        <v>0</v>
      </c>
      <c r="AW51" s="358">
        <f t="shared" si="21"/>
        <v>0</v>
      </c>
      <c r="AX51" s="356">
        <f t="shared" si="9"/>
        <v>25.683333333333337</v>
      </c>
      <c r="AY51" s="359">
        <f t="shared" si="11"/>
        <v>0.36348616274266832</v>
      </c>
      <c r="AZ51" s="360">
        <f t="shared" si="10"/>
        <v>0.63651383725733179</v>
      </c>
      <c r="BA51" s="287">
        <v>1624280</v>
      </c>
      <c r="BB51" s="287">
        <f t="shared" si="12"/>
        <v>30079.259259259259</v>
      </c>
    </row>
    <row r="52" spans="1:54" ht="15.75" thickBot="1" x14ac:dyDescent="0.3">
      <c r="A52" s="17" t="s">
        <v>412</v>
      </c>
      <c r="B52" s="17" t="s">
        <v>413</v>
      </c>
      <c r="C52" s="18" t="s">
        <v>61</v>
      </c>
      <c r="D52" s="18"/>
      <c r="E52" s="18"/>
      <c r="F52" s="18"/>
      <c r="G52" s="19"/>
      <c r="H52" s="19"/>
      <c r="I52" s="20"/>
      <c r="J52" s="20"/>
      <c r="K52" s="20" t="s">
        <v>318</v>
      </c>
      <c r="L52" s="72">
        <v>54</v>
      </c>
      <c r="M52" s="22">
        <v>20</v>
      </c>
      <c r="N52" s="22"/>
      <c r="O52" s="22"/>
      <c r="P52" s="22">
        <v>2</v>
      </c>
      <c r="Q52" s="22"/>
      <c r="R52" s="23" t="str">
        <f>IF(G52="x",1,"")</f>
        <v/>
      </c>
      <c r="S52" s="24">
        <f t="shared" si="0"/>
        <v>22</v>
      </c>
      <c r="T52" s="25">
        <f>IF($C52="",0,VLOOKUP($C52,[2]Hoja1!$C$11:$D$27,2,FALSE)*M52)+IF($D52="",0,VLOOKUP($D52,[2]Hoja1!$C$11:$D$27,2,FALSE)*N52)+IF($F52="",0,VLOOKUP($F52,[2]Hoja1!$C$11:$D$27,2,FALSE)*P52)+IF(R52="",0,R52*0.5)</f>
        <v>10</v>
      </c>
      <c r="U52" s="22" t="str">
        <f t="shared" si="23"/>
        <v/>
      </c>
      <c r="V52" s="22"/>
      <c r="W52" s="26">
        <v>1.5</v>
      </c>
      <c r="X52" s="22"/>
      <c r="Y52" s="22"/>
      <c r="Z52" s="22"/>
      <c r="AA52" s="22"/>
      <c r="AB52" s="22">
        <v>1</v>
      </c>
      <c r="AC52" s="22">
        <v>1</v>
      </c>
      <c r="AD52" s="22">
        <v>0.5</v>
      </c>
      <c r="AE52" s="22"/>
      <c r="AF52" s="22"/>
      <c r="AG52" s="29"/>
      <c r="AH52" s="28">
        <f t="shared" si="22"/>
        <v>14</v>
      </c>
      <c r="AI52" s="22"/>
      <c r="AJ52" s="22"/>
      <c r="AK52" s="22"/>
      <c r="AL52" s="22"/>
      <c r="AM52" s="22"/>
      <c r="AN52" s="30">
        <f t="shared" si="2"/>
        <v>0</v>
      </c>
      <c r="AO52" s="39"/>
      <c r="AP52" s="39"/>
      <c r="AQ52" s="33">
        <f t="shared" si="3"/>
        <v>0</v>
      </c>
      <c r="AR52" s="60">
        <f t="shared" si="17"/>
        <v>36</v>
      </c>
      <c r="AS52" s="343">
        <f t="shared" si="18"/>
        <v>18</v>
      </c>
      <c r="AT52" s="355">
        <v>40.283333333333331</v>
      </c>
      <c r="AU52" s="356">
        <f t="shared" si="19"/>
        <v>15.333333333333334</v>
      </c>
      <c r="AV52" s="357">
        <f t="shared" si="20"/>
        <v>0</v>
      </c>
      <c r="AW52" s="358">
        <f t="shared" si="21"/>
        <v>0</v>
      </c>
      <c r="AX52" s="356">
        <f t="shared" si="9"/>
        <v>24.949999999999996</v>
      </c>
      <c r="AY52" s="359">
        <f t="shared" si="11"/>
        <v>0.38063715349606952</v>
      </c>
      <c r="AZ52" s="360">
        <f t="shared" si="10"/>
        <v>0.61936284650393036</v>
      </c>
      <c r="BA52" s="287">
        <v>3229547</v>
      </c>
      <c r="BB52" s="287">
        <f t="shared" si="12"/>
        <v>59806.425925925927</v>
      </c>
    </row>
    <row r="53" spans="1:54" ht="15.75" thickBot="1" x14ac:dyDescent="0.3">
      <c r="A53" s="17" t="s">
        <v>414</v>
      </c>
      <c r="B53" s="17" t="s">
        <v>415</v>
      </c>
      <c r="C53" s="18" t="s">
        <v>64</v>
      </c>
      <c r="D53" s="18"/>
      <c r="E53" s="18"/>
      <c r="F53" s="18"/>
      <c r="G53" s="19" t="s">
        <v>57</v>
      </c>
      <c r="H53" s="19"/>
      <c r="I53" s="20"/>
      <c r="J53" s="20"/>
      <c r="K53" s="20"/>
      <c r="L53" s="72">
        <v>54</v>
      </c>
      <c r="M53" s="22">
        <v>22</v>
      </c>
      <c r="N53" s="22"/>
      <c r="O53" s="22"/>
      <c r="P53" s="22"/>
      <c r="Q53" s="22"/>
      <c r="R53" s="23">
        <f>IF(G53="x",1,"")</f>
        <v>1</v>
      </c>
      <c r="S53" s="24">
        <f t="shared" si="0"/>
        <v>23</v>
      </c>
      <c r="T53" s="25">
        <f>IF($C53="",0,VLOOKUP($C53,[2]Hoja1!$C$11:$D$27,2,FALSE)*M53)+IF($D53="",0,VLOOKUP($D53,[2]Hoja1!$C$11:$D$27,2,FALSE)*N53)+IF($F53="",0,VLOOKUP($F53,[2]Hoja1!$C$11:$D$27,2,FALSE)*P53)+IF(R53="",0,R53*0.5)</f>
        <v>11.5</v>
      </c>
      <c r="U53" s="22">
        <v>5</v>
      </c>
      <c r="V53" s="22">
        <v>0</v>
      </c>
      <c r="W53" s="26">
        <v>1.5</v>
      </c>
      <c r="X53" s="22"/>
      <c r="Y53" s="22"/>
      <c r="Z53" s="22"/>
      <c r="AA53" s="22"/>
      <c r="AB53" s="22">
        <v>1</v>
      </c>
      <c r="AC53" s="22">
        <v>2</v>
      </c>
      <c r="AD53" s="22">
        <v>1</v>
      </c>
      <c r="AE53" s="22"/>
      <c r="AF53" s="22">
        <v>4</v>
      </c>
      <c r="AG53" s="29" t="s">
        <v>416</v>
      </c>
      <c r="AH53" s="28">
        <f t="shared" si="22"/>
        <v>26</v>
      </c>
      <c r="AI53" s="22"/>
      <c r="AJ53" s="22"/>
      <c r="AK53" s="22"/>
      <c r="AL53" s="22"/>
      <c r="AM53" s="22"/>
      <c r="AN53" s="30">
        <f t="shared" si="2"/>
        <v>0</v>
      </c>
      <c r="AO53" s="39"/>
      <c r="AP53" s="39"/>
      <c r="AQ53" s="33">
        <f t="shared" si="3"/>
        <v>0</v>
      </c>
      <c r="AR53" s="60">
        <f t="shared" si="17"/>
        <v>49</v>
      </c>
      <c r="AS53" s="343">
        <f t="shared" si="18"/>
        <v>5</v>
      </c>
      <c r="AT53" s="355">
        <v>40.366666666666667</v>
      </c>
      <c r="AU53" s="356">
        <f t="shared" si="19"/>
        <v>16</v>
      </c>
      <c r="AV53" s="357">
        <f t="shared" si="20"/>
        <v>0</v>
      </c>
      <c r="AW53" s="358">
        <f t="shared" si="21"/>
        <v>0</v>
      </c>
      <c r="AX53" s="356">
        <f t="shared" si="9"/>
        <v>24.366666666666667</v>
      </c>
      <c r="AY53" s="359">
        <f t="shared" si="11"/>
        <v>0.39636663914120562</v>
      </c>
      <c r="AZ53" s="360">
        <f t="shared" si="10"/>
        <v>0.60363336085879438</v>
      </c>
      <c r="BA53" s="287">
        <v>2700637</v>
      </c>
      <c r="BB53" s="287">
        <f t="shared" si="12"/>
        <v>50011.796296296299</v>
      </c>
    </row>
    <row r="54" spans="1:54" ht="15.75" thickBot="1" x14ac:dyDescent="0.3">
      <c r="A54" s="17" t="s">
        <v>417</v>
      </c>
      <c r="B54" s="17" t="s">
        <v>418</v>
      </c>
      <c r="C54" s="18" t="s">
        <v>64</v>
      </c>
      <c r="D54" s="18"/>
      <c r="E54" s="18"/>
      <c r="F54" s="18"/>
      <c r="G54" s="19" t="s">
        <v>57</v>
      </c>
      <c r="H54" s="19"/>
      <c r="I54" s="20"/>
      <c r="J54" s="20"/>
      <c r="K54" s="20"/>
      <c r="L54" s="72">
        <v>54</v>
      </c>
      <c r="M54" s="22">
        <v>22</v>
      </c>
      <c r="N54" s="22"/>
      <c r="O54" s="22"/>
      <c r="P54" s="22"/>
      <c r="Q54" s="22"/>
      <c r="R54" s="23">
        <f>IF(G54="x",1,"")</f>
        <v>1</v>
      </c>
      <c r="S54" s="24">
        <f t="shared" si="0"/>
        <v>23</v>
      </c>
      <c r="T54" s="25">
        <f>IF($C54="",0,VLOOKUP($C54,[2]Hoja1!$C$11:$D$27,2,FALSE)*M54)+IF($D54="",0,VLOOKUP($D54,[2]Hoja1!$C$11:$D$27,2,FALSE)*N54)+IF($F54="",0,VLOOKUP($F54,[2]Hoja1!$C$11:$D$27,2,FALSE)*P54)+IF(R54="",0,R54*0.5)</f>
        <v>11.5</v>
      </c>
      <c r="U54" s="22">
        <v>5</v>
      </c>
      <c r="V54" s="22">
        <v>0</v>
      </c>
      <c r="W54" s="26">
        <v>1.5</v>
      </c>
      <c r="X54" s="22"/>
      <c r="Y54" s="22"/>
      <c r="Z54" s="22"/>
      <c r="AA54" s="22"/>
      <c r="AB54" s="22"/>
      <c r="AC54" s="22">
        <v>2</v>
      </c>
      <c r="AD54" s="22">
        <v>1</v>
      </c>
      <c r="AE54" s="22"/>
      <c r="AF54" s="22">
        <v>4</v>
      </c>
      <c r="AG54" s="29" t="s">
        <v>419</v>
      </c>
      <c r="AH54" s="28">
        <f t="shared" si="22"/>
        <v>25</v>
      </c>
      <c r="AI54" s="22"/>
      <c r="AJ54" s="22"/>
      <c r="AK54" s="22"/>
      <c r="AL54" s="22"/>
      <c r="AM54" s="22"/>
      <c r="AN54" s="30">
        <f t="shared" si="2"/>
        <v>0</v>
      </c>
      <c r="AO54" s="39"/>
      <c r="AP54" s="39"/>
      <c r="AQ54" s="33">
        <f t="shared" si="3"/>
        <v>0</v>
      </c>
      <c r="AR54" s="60">
        <f t="shared" si="17"/>
        <v>48</v>
      </c>
      <c r="AS54" s="343">
        <f t="shared" si="18"/>
        <v>6</v>
      </c>
      <c r="AT54" s="355">
        <v>40.366666666666667</v>
      </c>
      <c r="AU54" s="356">
        <f t="shared" si="19"/>
        <v>15.333333333333334</v>
      </c>
      <c r="AV54" s="357">
        <f t="shared" si="20"/>
        <v>0</v>
      </c>
      <c r="AW54" s="358">
        <f t="shared" si="21"/>
        <v>0</v>
      </c>
      <c r="AX54" s="356">
        <f t="shared" si="9"/>
        <v>25.033333333333331</v>
      </c>
      <c r="AY54" s="359">
        <f t="shared" si="11"/>
        <v>0.37985136251032203</v>
      </c>
      <c r="AZ54" s="360">
        <f t="shared" si="10"/>
        <v>0.62014863748967786</v>
      </c>
      <c r="BA54" s="287">
        <v>2653332</v>
      </c>
      <c r="BB54" s="287">
        <f t="shared" si="12"/>
        <v>49135.777777777781</v>
      </c>
    </row>
    <row r="55" spans="1:54" ht="15.75" thickBot="1" x14ac:dyDescent="0.3">
      <c r="A55" s="17" t="s">
        <v>420</v>
      </c>
      <c r="B55" s="17" t="s">
        <v>421</v>
      </c>
      <c r="C55" s="61" t="s">
        <v>109</v>
      </c>
      <c r="D55" s="62"/>
      <c r="E55" s="62"/>
      <c r="F55" s="62"/>
      <c r="G55" s="63" t="s">
        <v>57</v>
      </c>
      <c r="H55" s="63"/>
      <c r="I55" s="64"/>
      <c r="J55" s="64"/>
      <c r="K55" s="64" t="s">
        <v>349</v>
      </c>
      <c r="L55" s="65">
        <v>54</v>
      </c>
      <c r="M55" s="66">
        <v>20</v>
      </c>
      <c r="N55" s="67"/>
      <c r="O55" s="67"/>
      <c r="P55" s="67"/>
      <c r="Q55" s="67"/>
      <c r="R55" s="67">
        <v>1</v>
      </c>
      <c r="S55" s="24">
        <f t="shared" si="0"/>
        <v>21</v>
      </c>
      <c r="T55" s="25">
        <f>IF($C55="",0,VLOOKUP($C55,[2]Hoja1!$C$11:$D$27,2,FALSE)*M55)+IF($D55="",0,VLOOKUP($D55,[2]Hoja1!$C$11:$D$27,2,FALSE)*N55)+IF($F55="",0,VLOOKUP($F55,[2]Hoja1!$C$11:$D$27,2,FALSE)*P55)+IF(R55="",0,R55*0.5)</f>
        <v>10.5</v>
      </c>
      <c r="U55" s="22">
        <f>IF(G55="x",4,"")</f>
        <v>4</v>
      </c>
      <c r="V55" s="67">
        <v>4</v>
      </c>
      <c r="W55" s="68">
        <v>1.5</v>
      </c>
      <c r="X55" s="67"/>
      <c r="Y55" s="67"/>
      <c r="Z55" s="67"/>
      <c r="AA55" s="67"/>
      <c r="AB55" s="67">
        <v>2</v>
      </c>
      <c r="AC55" s="67">
        <v>1</v>
      </c>
      <c r="AD55" s="67">
        <v>0.5</v>
      </c>
      <c r="AE55" s="67"/>
      <c r="AF55" s="67">
        <v>1</v>
      </c>
      <c r="AG55" s="69" t="s">
        <v>297</v>
      </c>
      <c r="AH55" s="28">
        <f t="shared" si="22"/>
        <v>24.5</v>
      </c>
      <c r="AI55" s="66"/>
      <c r="AJ55" s="67"/>
      <c r="AK55" s="67"/>
      <c r="AL55" s="67"/>
      <c r="AM55" s="67"/>
      <c r="AN55" s="30">
        <f t="shared" si="2"/>
        <v>0</v>
      </c>
      <c r="AO55" s="70"/>
      <c r="AP55" s="70"/>
      <c r="AQ55" s="33">
        <f t="shared" si="3"/>
        <v>0</v>
      </c>
      <c r="AR55" s="60">
        <f t="shared" si="17"/>
        <v>45.5</v>
      </c>
      <c r="AS55" s="343">
        <f t="shared" si="18"/>
        <v>8.5</v>
      </c>
      <c r="AT55" s="355">
        <v>40.31666666666667</v>
      </c>
      <c r="AU55" s="356">
        <f t="shared" si="19"/>
        <v>15.333333333333334</v>
      </c>
      <c r="AV55" s="357">
        <f t="shared" si="20"/>
        <v>0</v>
      </c>
      <c r="AW55" s="358">
        <f t="shared" si="21"/>
        <v>0</v>
      </c>
      <c r="AX55" s="356">
        <f t="shared" si="9"/>
        <v>24.983333333333334</v>
      </c>
      <c r="AY55" s="359">
        <f t="shared" si="11"/>
        <v>0.38032244729226949</v>
      </c>
      <c r="AZ55" s="360">
        <f t="shared" si="10"/>
        <v>0.61967755270773039</v>
      </c>
      <c r="BA55" s="287">
        <v>3272740</v>
      </c>
      <c r="BB55" s="287">
        <f t="shared" si="12"/>
        <v>60606.296296296299</v>
      </c>
    </row>
    <row r="56" spans="1:54" ht="15.75" thickBot="1" x14ac:dyDescent="0.3">
      <c r="A56" s="17" t="s">
        <v>422</v>
      </c>
      <c r="B56" s="17" t="s">
        <v>423</v>
      </c>
      <c r="C56" s="340" t="s">
        <v>61</v>
      </c>
      <c r="D56" s="340"/>
      <c r="E56" s="340"/>
      <c r="F56" s="340"/>
      <c r="G56" s="19"/>
      <c r="H56" s="19"/>
      <c r="I56" s="20"/>
      <c r="J56" s="20"/>
      <c r="K56" s="20" t="s">
        <v>318</v>
      </c>
      <c r="L56" s="72">
        <v>54</v>
      </c>
      <c r="M56" s="22">
        <v>27</v>
      </c>
      <c r="N56" s="22"/>
      <c r="O56" s="22"/>
      <c r="P56" s="22"/>
      <c r="Q56" s="22"/>
      <c r="R56" s="23" t="str">
        <f>IF(G56="x",1,"")</f>
        <v/>
      </c>
      <c r="S56" s="24">
        <f t="shared" si="0"/>
        <v>27</v>
      </c>
      <c r="T56" s="25">
        <f>IF($C56="",0,VLOOKUP($C56,[2]Hoja1!$C$11:$D$27,2,FALSE)*M56)+IF($D56="",0,VLOOKUP($D56,[2]Hoja1!$C$11:$D$27,2,FALSE)*N56)+IF($F56="",0,VLOOKUP($F56,[2]Hoja1!$C$11:$D$27,2,FALSE)*P56)+IF(R56="",0,R56*0.5)</f>
        <v>13.5</v>
      </c>
      <c r="U56" s="22" t="str">
        <f>IF(G56="x",4,"")</f>
        <v/>
      </c>
      <c r="V56" s="22"/>
      <c r="W56" s="26">
        <v>1.5</v>
      </c>
      <c r="X56" s="22"/>
      <c r="Y56" s="22"/>
      <c r="Z56" s="22"/>
      <c r="AA56" s="22"/>
      <c r="AB56" s="22"/>
      <c r="AC56" s="22"/>
      <c r="AD56" s="22">
        <v>0.5</v>
      </c>
      <c r="AE56" s="22"/>
      <c r="AF56" s="22"/>
      <c r="AG56" s="29"/>
      <c r="AH56" s="28">
        <f t="shared" si="22"/>
        <v>15.5</v>
      </c>
      <c r="AI56" s="22"/>
      <c r="AJ56" s="22"/>
      <c r="AK56" s="22"/>
      <c r="AL56" s="22"/>
      <c r="AM56" s="22"/>
      <c r="AN56" s="30">
        <f t="shared" si="2"/>
        <v>0</v>
      </c>
      <c r="AO56" s="39"/>
      <c r="AP56" s="39"/>
      <c r="AQ56" s="33">
        <f t="shared" si="3"/>
        <v>0</v>
      </c>
      <c r="AR56" s="60">
        <f t="shared" si="17"/>
        <v>42.5</v>
      </c>
      <c r="AS56" s="343">
        <f t="shared" si="18"/>
        <v>11.5</v>
      </c>
      <c r="AT56" s="355">
        <v>40.35</v>
      </c>
      <c r="AU56" s="356">
        <f t="shared" si="19"/>
        <v>18</v>
      </c>
      <c r="AV56" s="357">
        <f t="shared" si="20"/>
        <v>0</v>
      </c>
      <c r="AW56" s="358">
        <f t="shared" si="21"/>
        <v>0</v>
      </c>
      <c r="AX56" s="356">
        <f t="shared" si="9"/>
        <v>22.35</v>
      </c>
      <c r="AY56" s="359">
        <f t="shared" si="11"/>
        <v>0.44609665427509293</v>
      </c>
      <c r="AZ56" s="360">
        <f t="shared" si="10"/>
        <v>0.55390334572490707</v>
      </c>
      <c r="BA56" s="287">
        <v>1600000</v>
      </c>
      <c r="BB56" s="287">
        <f t="shared" si="12"/>
        <v>29629.629629629631</v>
      </c>
    </row>
    <row r="57" spans="1:54" ht="15.75" thickBot="1" x14ac:dyDescent="0.3">
      <c r="A57" s="17" t="s">
        <v>424</v>
      </c>
      <c r="B57" s="17" t="s">
        <v>425</v>
      </c>
      <c r="C57" s="18" t="s">
        <v>114</v>
      </c>
      <c r="D57" s="18"/>
      <c r="E57" s="18"/>
      <c r="F57" s="18"/>
      <c r="G57" s="19" t="s">
        <v>57</v>
      </c>
      <c r="H57" s="19"/>
      <c r="I57" s="20"/>
      <c r="J57" s="20"/>
      <c r="K57" s="20"/>
      <c r="L57" s="72">
        <v>58</v>
      </c>
      <c r="M57" s="22">
        <v>22</v>
      </c>
      <c r="N57" s="22"/>
      <c r="O57" s="22"/>
      <c r="P57" s="22"/>
      <c r="Q57" s="22"/>
      <c r="R57" s="23">
        <f>IF(G57="x",1,"")</f>
        <v>1</v>
      </c>
      <c r="S57" s="24">
        <f t="shared" si="0"/>
        <v>23</v>
      </c>
      <c r="T57" s="25">
        <f>IF($C57="",0,VLOOKUP($C57,[2]Hoja1!$C$11:$D$27,2,FALSE)*M57)+IF($D57="",0,VLOOKUP($D57,[2]Hoja1!$C$11:$D$27,2,FALSE)*N57)+IF($F57="",0,VLOOKUP($F57,[2]Hoja1!$C$11:$D$27,2,FALSE)*P57)+IF(R57="",0,R57*0.5)</f>
        <v>11.5</v>
      </c>
      <c r="U57" s="22">
        <v>5</v>
      </c>
      <c r="V57" s="22">
        <v>0</v>
      </c>
      <c r="W57" s="26">
        <v>1.5</v>
      </c>
      <c r="X57" s="22">
        <v>2</v>
      </c>
      <c r="Y57" s="22"/>
      <c r="Z57" s="22"/>
      <c r="AA57" s="22"/>
      <c r="AB57" s="22"/>
      <c r="AC57" s="22">
        <v>2</v>
      </c>
      <c r="AD57" s="22">
        <v>1</v>
      </c>
      <c r="AE57" s="22"/>
      <c r="AF57" s="22">
        <v>3</v>
      </c>
      <c r="AG57" s="29" t="s">
        <v>426</v>
      </c>
      <c r="AH57" s="28">
        <f t="shared" si="22"/>
        <v>26</v>
      </c>
      <c r="AI57" s="22"/>
      <c r="AJ57" s="22"/>
      <c r="AK57" s="22"/>
      <c r="AL57" s="22"/>
      <c r="AM57" s="22"/>
      <c r="AN57" s="30">
        <f t="shared" si="2"/>
        <v>0</v>
      </c>
      <c r="AO57" s="39"/>
      <c r="AP57" s="39"/>
      <c r="AQ57" s="33">
        <f t="shared" si="3"/>
        <v>0</v>
      </c>
      <c r="AR57" s="60">
        <f t="shared" si="17"/>
        <v>49</v>
      </c>
      <c r="AS57" s="343">
        <f t="shared" si="18"/>
        <v>9</v>
      </c>
      <c r="AT57" s="355">
        <v>40.450000000000003</v>
      </c>
      <c r="AU57" s="356">
        <f t="shared" si="19"/>
        <v>15.333333333333334</v>
      </c>
      <c r="AV57" s="357">
        <f t="shared" si="20"/>
        <v>0</v>
      </c>
      <c r="AW57" s="358">
        <f t="shared" si="21"/>
        <v>0</v>
      </c>
      <c r="AX57" s="356">
        <f t="shared" si="9"/>
        <v>25.116666666666667</v>
      </c>
      <c r="AY57" s="359">
        <f t="shared" si="11"/>
        <v>0.37906880922950142</v>
      </c>
      <c r="AZ57" s="360">
        <f t="shared" si="10"/>
        <v>0.62093119077049852</v>
      </c>
      <c r="BA57" s="287">
        <v>1962381</v>
      </c>
      <c r="BB57" s="287">
        <f t="shared" si="12"/>
        <v>33834.15517241379</v>
      </c>
    </row>
    <row r="58" spans="1:54" ht="15.75" thickBot="1" x14ac:dyDescent="0.3">
      <c r="A58" s="17" t="s">
        <v>427</v>
      </c>
      <c r="B58" s="17" t="s">
        <v>428</v>
      </c>
      <c r="C58" s="61" t="s">
        <v>54</v>
      </c>
      <c r="D58" s="63" t="s">
        <v>109</v>
      </c>
      <c r="E58" s="63"/>
      <c r="F58" s="62"/>
      <c r="G58" s="63" t="s">
        <v>57</v>
      </c>
      <c r="H58" s="63"/>
      <c r="I58" s="64"/>
      <c r="J58" s="64"/>
      <c r="K58" s="64" t="s">
        <v>429</v>
      </c>
      <c r="L58" s="65">
        <v>54</v>
      </c>
      <c r="M58" s="66">
        <v>8</v>
      </c>
      <c r="N58" s="67">
        <v>6</v>
      </c>
      <c r="O58" s="67"/>
      <c r="P58" s="67"/>
      <c r="Q58" s="67"/>
      <c r="R58" s="67">
        <v>4</v>
      </c>
      <c r="S58" s="24">
        <f t="shared" si="0"/>
        <v>18</v>
      </c>
      <c r="T58" s="25">
        <f>IF($C58="",0,VLOOKUP($C58,[2]Hoja1!$C$11:$D$27,2,FALSE)*M58)+IF($D58="",0,VLOOKUP($D58,[2]Hoja1!$C$11:$D$27,2,FALSE)*N58)+IF($F58="",0,VLOOKUP($F58,[2]Hoja1!$C$11:$D$27,2,FALSE)*P58)+IF(R58="",0,R58*0.5)</f>
        <v>9</v>
      </c>
      <c r="U58" s="22">
        <f>IF(G58="x",4,"")</f>
        <v>4</v>
      </c>
      <c r="V58" s="67">
        <v>4</v>
      </c>
      <c r="W58" s="68">
        <v>1.5</v>
      </c>
      <c r="X58" s="67"/>
      <c r="Y58" s="67"/>
      <c r="Z58" s="67"/>
      <c r="AA58" s="67"/>
      <c r="AB58" s="67">
        <v>3</v>
      </c>
      <c r="AC58" s="67">
        <v>1</v>
      </c>
      <c r="AD58" s="67">
        <v>0.5</v>
      </c>
      <c r="AE58" s="67"/>
      <c r="AF58" s="67">
        <v>1</v>
      </c>
      <c r="AG58" s="69" t="s">
        <v>297</v>
      </c>
      <c r="AH58" s="28">
        <f t="shared" si="22"/>
        <v>24</v>
      </c>
      <c r="AI58" s="66"/>
      <c r="AJ58" s="67"/>
      <c r="AK58" s="67"/>
      <c r="AL58" s="67"/>
      <c r="AM58" s="67"/>
      <c r="AN58" s="30">
        <f t="shared" si="2"/>
        <v>0</v>
      </c>
      <c r="AO58" s="70"/>
      <c r="AP58" s="70"/>
      <c r="AQ58" s="33">
        <f t="shared" si="3"/>
        <v>0</v>
      </c>
      <c r="AR58" s="60">
        <f t="shared" si="17"/>
        <v>42</v>
      </c>
      <c r="AS58" s="343">
        <f t="shared" si="18"/>
        <v>12</v>
      </c>
      <c r="AT58" s="355">
        <v>40.283333333333331</v>
      </c>
      <c r="AU58" s="356">
        <f t="shared" si="19"/>
        <v>14</v>
      </c>
      <c r="AV58" s="357">
        <f t="shared" si="20"/>
        <v>0</v>
      </c>
      <c r="AW58" s="358">
        <f t="shared" si="21"/>
        <v>0</v>
      </c>
      <c r="AX58" s="356">
        <f t="shared" si="9"/>
        <v>26.283333333333331</v>
      </c>
      <c r="AY58" s="359">
        <f t="shared" si="11"/>
        <v>0.34753827058336784</v>
      </c>
      <c r="AZ58" s="360">
        <f t="shared" si="10"/>
        <v>0.65246172941663216</v>
      </c>
      <c r="BA58" s="287">
        <v>3144432</v>
      </c>
      <c r="BB58" s="287">
        <f t="shared" si="12"/>
        <v>58230.222222222219</v>
      </c>
    </row>
    <row r="59" spans="1:54" ht="15.75" thickBot="1" x14ac:dyDescent="0.3">
      <c r="A59" s="17" t="s">
        <v>430</v>
      </c>
      <c r="B59" s="17" t="s">
        <v>431</v>
      </c>
      <c r="C59" s="61" t="s">
        <v>295</v>
      </c>
      <c r="D59" s="62"/>
      <c r="E59" s="62"/>
      <c r="F59" s="62"/>
      <c r="G59" s="63" t="s">
        <v>57</v>
      </c>
      <c r="H59" s="63"/>
      <c r="I59" s="64"/>
      <c r="J59" s="64"/>
      <c r="K59" s="64" t="s">
        <v>296</v>
      </c>
      <c r="L59" s="65">
        <v>54</v>
      </c>
      <c r="M59" s="66">
        <v>14</v>
      </c>
      <c r="N59" s="67"/>
      <c r="O59" s="67"/>
      <c r="P59" s="67">
        <v>2</v>
      </c>
      <c r="Q59" s="67"/>
      <c r="R59" s="67">
        <v>1</v>
      </c>
      <c r="S59" s="24">
        <f t="shared" si="0"/>
        <v>17</v>
      </c>
      <c r="T59" s="25">
        <f>IF($C59="",0,VLOOKUP($C59,[2]Hoja1!$C$11:$D$27,2,FALSE)*M59)+IF($D59="",0,VLOOKUP($D59,[2]Hoja1!$C$11:$D$27,2,FALSE)*N59)+IF($F59="",0,VLOOKUP($F59,[2]Hoja1!$C$11:$D$27,2,FALSE)*P59)+IF(R59="",0,R59*0.5)</f>
        <v>7.5</v>
      </c>
      <c r="U59" s="22">
        <f>IF(G59="x",4,"")</f>
        <v>4</v>
      </c>
      <c r="V59" s="67">
        <v>4</v>
      </c>
      <c r="W59" s="68">
        <v>1.5</v>
      </c>
      <c r="X59" s="67"/>
      <c r="Y59" s="67"/>
      <c r="Z59" s="67">
        <v>2</v>
      </c>
      <c r="AA59" s="67"/>
      <c r="AB59" s="67">
        <v>2</v>
      </c>
      <c r="AC59" s="67">
        <v>1</v>
      </c>
      <c r="AD59" s="67">
        <v>0.5</v>
      </c>
      <c r="AE59" s="67"/>
      <c r="AF59" s="67">
        <v>1</v>
      </c>
      <c r="AG59" s="69" t="s">
        <v>297</v>
      </c>
      <c r="AH59" s="28">
        <f t="shared" si="22"/>
        <v>23.5</v>
      </c>
      <c r="AI59" s="66"/>
      <c r="AJ59" s="67"/>
      <c r="AK59" s="67"/>
      <c r="AL59" s="67">
        <v>2</v>
      </c>
      <c r="AM59" s="67" t="s">
        <v>49</v>
      </c>
      <c r="AN59" s="30">
        <f t="shared" si="2"/>
        <v>2</v>
      </c>
      <c r="AO59" s="70"/>
      <c r="AP59" s="70"/>
      <c r="AQ59" s="33">
        <f t="shared" si="3"/>
        <v>0</v>
      </c>
      <c r="AR59" s="60">
        <f t="shared" si="17"/>
        <v>42.5</v>
      </c>
      <c r="AS59" s="343">
        <f t="shared" si="18"/>
        <v>11.5</v>
      </c>
      <c r="AT59" s="355">
        <v>40.299999999999997</v>
      </c>
      <c r="AU59" s="356">
        <f t="shared" si="19"/>
        <v>12.666666666666666</v>
      </c>
      <c r="AV59" s="357">
        <f t="shared" si="20"/>
        <v>1.3333333333333333</v>
      </c>
      <c r="AW59" s="358">
        <f t="shared" si="21"/>
        <v>0</v>
      </c>
      <c r="AX59" s="356">
        <f t="shared" si="9"/>
        <v>26.3</v>
      </c>
      <c r="AY59" s="359">
        <f t="shared" si="11"/>
        <v>0.32506415739948669</v>
      </c>
      <c r="AZ59" s="360">
        <f t="shared" si="10"/>
        <v>0.6749358426005132</v>
      </c>
      <c r="BA59" s="287">
        <v>1928192</v>
      </c>
      <c r="BB59" s="287">
        <f t="shared" si="12"/>
        <v>35707.259259259263</v>
      </c>
    </row>
    <row r="60" spans="1:54" ht="15.75" thickBot="1" x14ac:dyDescent="0.3">
      <c r="A60" s="17" t="s">
        <v>432</v>
      </c>
      <c r="B60" s="17" t="s">
        <v>433</v>
      </c>
      <c r="C60" s="18" t="s">
        <v>64</v>
      </c>
      <c r="D60" s="18"/>
      <c r="E60" s="18"/>
      <c r="F60" s="18"/>
      <c r="G60" s="19" t="s">
        <v>57</v>
      </c>
      <c r="H60" s="19"/>
      <c r="I60" s="20"/>
      <c r="J60" s="20"/>
      <c r="K60" s="20"/>
      <c r="L60" s="72">
        <v>54</v>
      </c>
      <c r="M60" s="22">
        <v>16</v>
      </c>
      <c r="N60" s="22"/>
      <c r="O60" s="22"/>
      <c r="P60" s="22"/>
      <c r="Q60" s="22"/>
      <c r="R60" s="23">
        <f>IF(G60="x",1,"")</f>
        <v>1</v>
      </c>
      <c r="S60" s="24">
        <f t="shared" si="0"/>
        <v>17</v>
      </c>
      <c r="T60" s="25">
        <f>IF($C60="",0,VLOOKUP($C60,[2]Hoja1!$C$11:$D$27,2,FALSE)*M60)+IF($D60="",0,VLOOKUP($D60,[2]Hoja1!$C$11:$D$27,2,FALSE)*N60)+IF($F60="",0,VLOOKUP($F60,[2]Hoja1!$C$11:$D$27,2,FALSE)*P60)+IF(R60="",0,R60*0.5)</f>
        <v>8.5</v>
      </c>
      <c r="U60" s="22">
        <v>5</v>
      </c>
      <c r="V60" s="22">
        <v>0</v>
      </c>
      <c r="W60" s="26">
        <v>1.5</v>
      </c>
      <c r="X60" s="22">
        <v>2</v>
      </c>
      <c r="Y60" s="22"/>
      <c r="Z60" s="22"/>
      <c r="AA60" s="22"/>
      <c r="AB60" s="22"/>
      <c r="AC60" s="22">
        <v>2</v>
      </c>
      <c r="AD60" s="22">
        <v>1</v>
      </c>
      <c r="AE60" s="22">
        <v>1.5</v>
      </c>
      <c r="AF60" s="22">
        <v>9</v>
      </c>
      <c r="AG60" s="29" t="s">
        <v>434</v>
      </c>
      <c r="AH60" s="28">
        <f t="shared" si="22"/>
        <v>30.5</v>
      </c>
      <c r="AI60" s="22"/>
      <c r="AJ60" s="22"/>
      <c r="AK60" s="22"/>
      <c r="AL60" s="22"/>
      <c r="AM60" s="22"/>
      <c r="AN60" s="30">
        <f t="shared" si="2"/>
        <v>0</v>
      </c>
      <c r="AO60" s="39"/>
      <c r="AP60" s="39"/>
      <c r="AQ60" s="33">
        <f t="shared" si="3"/>
        <v>0</v>
      </c>
      <c r="AR60" s="60">
        <f t="shared" si="17"/>
        <v>47.5</v>
      </c>
      <c r="AS60" s="343">
        <f t="shared" si="18"/>
        <v>6.5</v>
      </c>
      <c r="AT60" s="355">
        <v>40.299999999999997</v>
      </c>
      <c r="AU60" s="356">
        <f t="shared" si="19"/>
        <v>11.333333333333334</v>
      </c>
      <c r="AV60" s="357">
        <f t="shared" si="20"/>
        <v>0</v>
      </c>
      <c r="AW60" s="358">
        <f t="shared" si="21"/>
        <v>0</v>
      </c>
      <c r="AX60" s="356">
        <f t="shared" si="9"/>
        <v>28.966666666666661</v>
      </c>
      <c r="AY60" s="359">
        <f t="shared" si="11"/>
        <v>0.28122415219189417</v>
      </c>
      <c r="AZ60" s="360">
        <f t="shared" si="10"/>
        <v>0.71877584780810577</v>
      </c>
      <c r="BA60" s="287">
        <v>2562011</v>
      </c>
      <c r="BB60" s="287">
        <f t="shared" si="12"/>
        <v>47444.648148148146</v>
      </c>
    </row>
    <row r="61" spans="1:54" ht="15.75" thickBot="1" x14ac:dyDescent="0.3">
      <c r="A61" s="17" t="s">
        <v>435</v>
      </c>
      <c r="B61" s="17" t="s">
        <v>436</v>
      </c>
      <c r="C61" s="18" t="s">
        <v>126</v>
      </c>
      <c r="D61" s="18"/>
      <c r="E61" s="18"/>
      <c r="F61" s="18"/>
      <c r="G61" s="19"/>
      <c r="H61" s="19"/>
      <c r="I61" s="20"/>
      <c r="J61" s="20"/>
      <c r="K61" s="20" t="s">
        <v>309</v>
      </c>
      <c r="L61" s="72">
        <v>16</v>
      </c>
      <c r="M61" s="22">
        <v>6</v>
      </c>
      <c r="N61" s="22"/>
      <c r="O61" s="22"/>
      <c r="P61" s="22"/>
      <c r="Q61" s="22"/>
      <c r="R61" s="23" t="str">
        <f>IF(G61="x",1,"")</f>
        <v/>
      </c>
      <c r="S61" s="24">
        <f t="shared" si="0"/>
        <v>6</v>
      </c>
      <c r="T61" s="25">
        <f>IF($C61="",0,VLOOKUP($C61,[2]Hoja1!$C$11:$D$27,2,FALSE)*M61)+IF($D61="",0,VLOOKUP($D61,[2]Hoja1!$C$11:$D$27,2,FALSE)*N61)+IF($F61="",0,VLOOKUP($F61,[2]Hoja1!$C$11:$D$27,2,FALSE)*P61)+IF(R61="",0,R61*0.5)</f>
        <v>1.7999999999999998</v>
      </c>
      <c r="U61" s="22" t="str">
        <f t="shared" ref="U61:U70" si="24">IF(G61="x",4,"")</f>
        <v/>
      </c>
      <c r="V61" s="22" t="s">
        <v>291</v>
      </c>
      <c r="W61" s="26">
        <v>1.5</v>
      </c>
      <c r="X61" s="22"/>
      <c r="Y61" s="22">
        <v>10</v>
      </c>
      <c r="Z61" s="22"/>
      <c r="AA61" s="22"/>
      <c r="AB61" s="22"/>
      <c r="AC61" s="22"/>
      <c r="AD61" s="22"/>
      <c r="AE61" s="22"/>
      <c r="AF61" s="22">
        <v>6</v>
      </c>
      <c r="AG61" s="29" t="s">
        <v>313</v>
      </c>
      <c r="AH61" s="28">
        <f t="shared" si="22"/>
        <v>19.3</v>
      </c>
      <c r="AI61" s="22"/>
      <c r="AJ61" s="22"/>
      <c r="AK61" s="22"/>
      <c r="AL61" s="22"/>
      <c r="AM61" s="22"/>
      <c r="AN61" s="30">
        <f t="shared" si="2"/>
        <v>0</v>
      </c>
      <c r="AO61" s="39"/>
      <c r="AP61" s="39"/>
      <c r="AQ61" s="33">
        <f t="shared" si="3"/>
        <v>0</v>
      </c>
      <c r="AR61" s="60">
        <f t="shared" si="17"/>
        <v>25.3</v>
      </c>
      <c r="AS61" s="343">
        <f t="shared" si="18"/>
        <v>-9.3000000000000007</v>
      </c>
      <c r="AT61" s="355">
        <v>11.1</v>
      </c>
      <c r="AU61" s="356">
        <f t="shared" si="19"/>
        <v>4</v>
      </c>
      <c r="AV61" s="357">
        <f t="shared" si="20"/>
        <v>0</v>
      </c>
      <c r="AW61" s="358">
        <f t="shared" si="21"/>
        <v>0</v>
      </c>
      <c r="AX61" s="356">
        <f t="shared" si="9"/>
        <v>7.1</v>
      </c>
      <c r="AY61" s="359">
        <f t="shared" si="11"/>
        <v>0.3603603603603604</v>
      </c>
      <c r="AZ61" s="360">
        <f t="shared" si="10"/>
        <v>0.63963963963963966</v>
      </c>
      <c r="BA61" s="287">
        <v>775951</v>
      </c>
      <c r="BB61" s="287">
        <f t="shared" si="12"/>
        <v>48496.9375</v>
      </c>
    </row>
    <row r="62" spans="1:54" ht="15.75" thickBot="1" x14ac:dyDescent="0.3">
      <c r="A62" s="17" t="s">
        <v>437</v>
      </c>
      <c r="B62" s="17" t="s">
        <v>438</v>
      </c>
      <c r="C62" s="61" t="s">
        <v>54</v>
      </c>
      <c r="D62" s="62"/>
      <c r="E62" s="62"/>
      <c r="F62" s="62"/>
      <c r="G62" s="63" t="s">
        <v>57</v>
      </c>
      <c r="H62" s="63"/>
      <c r="I62" s="64"/>
      <c r="J62" s="64"/>
      <c r="K62" s="64" t="s">
        <v>296</v>
      </c>
      <c r="L62" s="65">
        <v>54</v>
      </c>
      <c r="M62" s="66">
        <v>13</v>
      </c>
      <c r="N62" s="67"/>
      <c r="O62" s="67"/>
      <c r="P62" s="67">
        <v>6</v>
      </c>
      <c r="Q62" s="67"/>
      <c r="R62" s="67">
        <v>1</v>
      </c>
      <c r="S62" s="24">
        <f t="shared" si="0"/>
        <v>20</v>
      </c>
      <c r="T62" s="25">
        <f>IF($C62="",0,VLOOKUP($C62,[2]Hoja1!$C$11:$D$27,2,FALSE)*M62)+IF($D62="",0,VLOOKUP($D62,[2]Hoja1!$C$11:$D$27,2,FALSE)*N62)+IF($F62="",0,VLOOKUP($F62,[2]Hoja1!$C$11:$D$27,2,FALSE)*P62)+IF(R62="",0,R62*0.5)</f>
        <v>7</v>
      </c>
      <c r="U62" s="22">
        <f t="shared" si="24"/>
        <v>4</v>
      </c>
      <c r="V62" s="67">
        <v>4</v>
      </c>
      <c r="W62" s="68">
        <v>1.5</v>
      </c>
      <c r="X62" s="67"/>
      <c r="Y62" s="67"/>
      <c r="Z62" s="67"/>
      <c r="AA62" s="67"/>
      <c r="AB62" s="67">
        <v>3</v>
      </c>
      <c r="AC62" s="67">
        <v>1</v>
      </c>
      <c r="AD62" s="67">
        <v>0.5</v>
      </c>
      <c r="AE62" s="67"/>
      <c r="AF62" s="67">
        <v>4</v>
      </c>
      <c r="AG62" s="69" t="s">
        <v>439</v>
      </c>
      <c r="AH62" s="28">
        <f t="shared" si="22"/>
        <v>25</v>
      </c>
      <c r="AI62" s="66"/>
      <c r="AJ62" s="67"/>
      <c r="AK62" s="67"/>
      <c r="AL62" s="67"/>
      <c r="AM62" s="67"/>
      <c r="AN62" s="30">
        <f t="shared" si="2"/>
        <v>0</v>
      </c>
      <c r="AO62" s="70"/>
      <c r="AP62" s="70"/>
      <c r="AQ62" s="33">
        <f t="shared" si="3"/>
        <v>0</v>
      </c>
      <c r="AR62" s="60">
        <f t="shared" si="17"/>
        <v>45</v>
      </c>
      <c r="AS62" s="343">
        <f t="shared" si="18"/>
        <v>9</v>
      </c>
      <c r="AT62" s="355">
        <v>40.266666666666666</v>
      </c>
      <c r="AU62" s="356">
        <f t="shared" si="19"/>
        <v>15.333333333333334</v>
      </c>
      <c r="AV62" s="357">
        <f t="shared" si="20"/>
        <v>0</v>
      </c>
      <c r="AW62" s="358">
        <f t="shared" si="21"/>
        <v>0</v>
      </c>
      <c r="AX62" s="356">
        <f t="shared" si="9"/>
        <v>24.93333333333333</v>
      </c>
      <c r="AY62" s="359">
        <f t="shared" si="11"/>
        <v>0.38079470198675497</v>
      </c>
      <c r="AZ62" s="360">
        <f t="shared" si="10"/>
        <v>0.61920529801324498</v>
      </c>
      <c r="BA62" s="287">
        <v>2185933</v>
      </c>
      <c r="BB62" s="287">
        <f t="shared" si="12"/>
        <v>40480.240740740737</v>
      </c>
    </row>
    <row r="63" spans="1:54" ht="15.75" thickBot="1" x14ac:dyDescent="0.3">
      <c r="A63" s="17" t="s">
        <v>440</v>
      </c>
      <c r="B63" s="17" t="s">
        <v>441</v>
      </c>
      <c r="C63" s="18" t="s">
        <v>126</v>
      </c>
      <c r="D63" s="18"/>
      <c r="E63" s="18"/>
      <c r="F63" s="18"/>
      <c r="G63" s="19"/>
      <c r="H63" s="19" t="s">
        <v>57</v>
      </c>
      <c r="I63" s="20"/>
      <c r="J63" s="20"/>
      <c r="K63" s="20" t="s">
        <v>309</v>
      </c>
      <c r="L63" s="72">
        <v>55</v>
      </c>
      <c r="M63" s="22">
        <v>22</v>
      </c>
      <c r="N63" s="22"/>
      <c r="O63" s="22"/>
      <c r="P63" s="22"/>
      <c r="Q63" s="22"/>
      <c r="R63" s="23" t="str">
        <f>IF(G63="x",1,"")</f>
        <v/>
      </c>
      <c r="S63" s="24">
        <f t="shared" si="0"/>
        <v>22</v>
      </c>
      <c r="T63" s="25">
        <f>IF($C63="",0,VLOOKUP($C63,[2]Hoja1!$C$11:$D$27,2,FALSE)*M63)+IF($D63="",0,VLOOKUP($D63,[2]Hoja1!$C$11:$D$27,2,FALSE)*N63)+IF($F63="",0,VLOOKUP($F63,[2]Hoja1!$C$11:$D$27,2,FALSE)*P63)+IF(R63="",0,R63*0.5)</f>
        <v>6.6</v>
      </c>
      <c r="U63" s="22" t="str">
        <f t="shared" si="24"/>
        <v/>
      </c>
      <c r="V63" s="22" t="s">
        <v>291</v>
      </c>
      <c r="W63" s="26">
        <v>1.5</v>
      </c>
      <c r="X63" s="22"/>
      <c r="Y63" s="22">
        <v>10</v>
      </c>
      <c r="Z63" s="22"/>
      <c r="AA63" s="22"/>
      <c r="AB63" s="22"/>
      <c r="AC63" s="22">
        <v>1</v>
      </c>
      <c r="AD63" s="22">
        <v>0.5</v>
      </c>
      <c r="AE63" s="22"/>
      <c r="AF63" s="22">
        <v>6</v>
      </c>
      <c r="AG63" s="29" t="s">
        <v>313</v>
      </c>
      <c r="AH63" s="28">
        <f t="shared" si="22"/>
        <v>25.6</v>
      </c>
      <c r="AI63" s="22"/>
      <c r="AJ63" s="22">
        <v>14</v>
      </c>
      <c r="AK63" s="22"/>
      <c r="AL63" s="22"/>
      <c r="AM63" s="22"/>
      <c r="AN63" s="30">
        <f t="shared" si="2"/>
        <v>14</v>
      </c>
      <c r="AO63" s="39"/>
      <c r="AP63" s="39"/>
      <c r="AQ63" s="33">
        <f t="shared" si="3"/>
        <v>0</v>
      </c>
      <c r="AR63" s="60">
        <f t="shared" si="17"/>
        <v>61.6</v>
      </c>
      <c r="AS63" s="343">
        <f t="shared" si="18"/>
        <v>-6.6000000000000014</v>
      </c>
      <c r="AT63" s="355">
        <v>40.299999999999997</v>
      </c>
      <c r="AU63" s="356">
        <f t="shared" si="19"/>
        <v>14.666666666666666</v>
      </c>
      <c r="AV63" s="357">
        <f t="shared" si="20"/>
        <v>9.3333333333333339</v>
      </c>
      <c r="AW63" s="358">
        <f t="shared" si="21"/>
        <v>0</v>
      </c>
      <c r="AX63" s="356">
        <f t="shared" si="9"/>
        <v>16.299999999999997</v>
      </c>
      <c r="AY63" s="359">
        <f t="shared" si="11"/>
        <v>0.47362755651237898</v>
      </c>
      <c r="AZ63" s="360">
        <f t="shared" si="10"/>
        <v>0.52637244348762113</v>
      </c>
      <c r="BA63" s="287">
        <v>4733341</v>
      </c>
      <c r="BB63" s="287">
        <f t="shared" si="12"/>
        <v>86060.745454545453</v>
      </c>
    </row>
    <row r="64" spans="1:54" ht="15.75" thickBot="1" x14ac:dyDescent="0.3">
      <c r="A64" s="17" t="s">
        <v>442</v>
      </c>
      <c r="B64" s="17" t="s">
        <v>443</v>
      </c>
      <c r="C64" s="61" t="s">
        <v>54</v>
      </c>
      <c r="D64" s="63" t="s">
        <v>56</v>
      </c>
      <c r="E64" s="63"/>
      <c r="F64" s="62"/>
      <c r="G64" s="63" t="s">
        <v>57</v>
      </c>
      <c r="H64" s="63" t="s">
        <v>57</v>
      </c>
      <c r="I64" s="64"/>
      <c r="J64" s="64"/>
      <c r="K64" s="64" t="s">
        <v>349</v>
      </c>
      <c r="L64" s="65">
        <v>54</v>
      </c>
      <c r="M64" s="66">
        <v>4</v>
      </c>
      <c r="N64" s="67">
        <v>3</v>
      </c>
      <c r="O64" s="67"/>
      <c r="P64" s="67">
        <v>10</v>
      </c>
      <c r="Q64" s="67"/>
      <c r="R64" s="67">
        <v>2</v>
      </c>
      <c r="S64" s="24">
        <f t="shared" si="0"/>
        <v>19</v>
      </c>
      <c r="T64" s="25">
        <f>IF($C64="",0,VLOOKUP($C64,[2]Hoja1!$C$11:$D$27,2,FALSE)*M64)+IF($D64="",0,VLOOKUP($D64,[2]Hoja1!$C$11:$D$27,2,FALSE)*N64)+IF($F64="",0,VLOOKUP($F64,[2]Hoja1!$C$11:$D$27,2,FALSE)*P64)+IF(R64="",0,R64*0.5)</f>
        <v>4.5</v>
      </c>
      <c r="U64" s="22">
        <f t="shared" si="24"/>
        <v>4</v>
      </c>
      <c r="V64" s="67">
        <v>4</v>
      </c>
      <c r="W64" s="68">
        <v>1.5</v>
      </c>
      <c r="X64" s="67"/>
      <c r="Y64" s="67"/>
      <c r="Z64" s="67"/>
      <c r="AA64" s="67"/>
      <c r="AB64" s="67">
        <v>3</v>
      </c>
      <c r="AC64" s="67">
        <v>1</v>
      </c>
      <c r="AD64" s="67">
        <v>0.5</v>
      </c>
      <c r="AE64" s="67"/>
      <c r="AF64" s="67"/>
      <c r="AG64" s="69"/>
      <c r="AH64" s="28">
        <f t="shared" si="22"/>
        <v>18.5</v>
      </c>
      <c r="AI64" s="66"/>
      <c r="AJ64" s="67">
        <v>12</v>
      </c>
      <c r="AK64" s="67"/>
      <c r="AL64" s="67"/>
      <c r="AM64" s="67"/>
      <c r="AN64" s="30">
        <f t="shared" si="2"/>
        <v>12</v>
      </c>
      <c r="AO64" s="70"/>
      <c r="AP64" s="70"/>
      <c r="AQ64" s="33">
        <f t="shared" si="3"/>
        <v>0</v>
      </c>
      <c r="AR64" s="60">
        <f t="shared" si="17"/>
        <v>49.5</v>
      </c>
      <c r="AS64" s="343">
        <f t="shared" si="18"/>
        <v>4.5</v>
      </c>
      <c r="AT64" s="355">
        <v>40.299999999999997</v>
      </c>
      <c r="AU64" s="356">
        <f t="shared" si="19"/>
        <v>14.666666666666666</v>
      </c>
      <c r="AV64" s="357">
        <f t="shared" si="20"/>
        <v>8</v>
      </c>
      <c r="AW64" s="358">
        <f t="shared" si="21"/>
        <v>0</v>
      </c>
      <c r="AX64" s="356">
        <f t="shared" si="9"/>
        <v>17.633333333333333</v>
      </c>
      <c r="AY64" s="359">
        <f t="shared" si="11"/>
        <v>0.45407636738906093</v>
      </c>
      <c r="AZ64" s="360">
        <f t="shared" si="10"/>
        <v>0.54592363261093912</v>
      </c>
      <c r="BA64" s="287">
        <v>4774348</v>
      </c>
      <c r="BB64" s="287">
        <f t="shared" si="12"/>
        <v>88413.851851851854</v>
      </c>
    </row>
    <row r="65" spans="1:54" ht="15.75" thickBot="1" x14ac:dyDescent="0.3">
      <c r="A65" s="17" t="s">
        <v>444</v>
      </c>
      <c r="B65" s="17" t="s">
        <v>445</v>
      </c>
      <c r="C65" s="18" t="s">
        <v>64</v>
      </c>
      <c r="D65" s="19" t="s">
        <v>109</v>
      </c>
      <c r="E65" s="19"/>
      <c r="F65" s="18"/>
      <c r="G65" s="19" t="s">
        <v>57</v>
      </c>
      <c r="H65" s="19"/>
      <c r="I65" s="20"/>
      <c r="J65" s="20"/>
      <c r="K65" s="20"/>
      <c r="L65" s="72">
        <v>54</v>
      </c>
      <c r="M65" s="22">
        <v>22</v>
      </c>
      <c r="N65" s="22"/>
      <c r="O65" s="22"/>
      <c r="P65" s="22"/>
      <c r="Q65" s="22"/>
      <c r="R65" s="23">
        <f>IF(G65="x",1,"")</f>
        <v>1</v>
      </c>
      <c r="S65" s="24">
        <f t="shared" si="0"/>
        <v>23</v>
      </c>
      <c r="T65" s="25">
        <f>IF($C65="",0,VLOOKUP($C65,[2]Hoja1!$C$11:$D$27,2,FALSE)*M65)+IF($D65="",0,VLOOKUP($D65,[2]Hoja1!$C$11:$D$27,2,FALSE)*N65)+IF($F65="",0,VLOOKUP($F65,[2]Hoja1!$C$11:$D$27,2,FALSE)*P65)+IF(R65="",0,R65*0.5)</f>
        <v>11.5</v>
      </c>
      <c r="U65" s="22">
        <f t="shared" si="24"/>
        <v>4</v>
      </c>
      <c r="V65" s="22">
        <v>4</v>
      </c>
      <c r="W65" s="26">
        <v>1.5</v>
      </c>
      <c r="X65" s="22">
        <v>2</v>
      </c>
      <c r="Y65" s="22"/>
      <c r="Z65" s="22"/>
      <c r="AA65" s="22"/>
      <c r="AB65" s="22"/>
      <c r="AC65" s="22">
        <v>2</v>
      </c>
      <c r="AD65" s="22">
        <v>1</v>
      </c>
      <c r="AE65" s="22"/>
      <c r="AF65" s="22">
        <v>3</v>
      </c>
      <c r="AG65" s="29" t="s">
        <v>446</v>
      </c>
      <c r="AH65" s="28">
        <f t="shared" si="22"/>
        <v>29</v>
      </c>
      <c r="AI65" s="22"/>
      <c r="AJ65" s="22"/>
      <c r="AK65" s="22"/>
      <c r="AL65" s="22"/>
      <c r="AM65" s="22"/>
      <c r="AN65" s="30">
        <f t="shared" si="2"/>
        <v>0</v>
      </c>
      <c r="AO65" s="39"/>
      <c r="AP65" s="39"/>
      <c r="AQ65" s="33">
        <f t="shared" si="3"/>
        <v>0</v>
      </c>
      <c r="AR65" s="60">
        <f t="shared" si="17"/>
        <v>52</v>
      </c>
      <c r="AS65" s="343">
        <f t="shared" si="18"/>
        <v>2</v>
      </c>
      <c r="AT65" s="355">
        <v>40.333333333333336</v>
      </c>
      <c r="AU65" s="356">
        <f t="shared" si="19"/>
        <v>15.333333333333334</v>
      </c>
      <c r="AV65" s="357">
        <f t="shared" si="20"/>
        <v>0</v>
      </c>
      <c r="AW65" s="358">
        <f t="shared" si="21"/>
        <v>0</v>
      </c>
      <c r="AX65" s="356">
        <f t="shared" si="9"/>
        <v>25</v>
      </c>
      <c r="AY65" s="359">
        <f t="shared" si="11"/>
        <v>0.38016528925619836</v>
      </c>
      <c r="AZ65" s="360">
        <f t="shared" si="10"/>
        <v>0.61983471074380159</v>
      </c>
      <c r="BA65" s="287">
        <v>2081285</v>
      </c>
      <c r="BB65" s="287">
        <f t="shared" si="12"/>
        <v>38542.314814814818</v>
      </c>
    </row>
    <row r="66" spans="1:54" ht="15.75" thickBot="1" x14ac:dyDescent="0.3">
      <c r="A66" s="17" t="s">
        <v>447</v>
      </c>
      <c r="B66" s="17" t="s">
        <v>448</v>
      </c>
      <c r="C66" s="61" t="s">
        <v>109</v>
      </c>
      <c r="D66" s="63" t="s">
        <v>295</v>
      </c>
      <c r="E66" s="63"/>
      <c r="F66" s="62"/>
      <c r="G66" s="63"/>
      <c r="H66" s="63"/>
      <c r="I66" s="64"/>
      <c r="J66" s="64"/>
      <c r="K66" s="64" t="s">
        <v>290</v>
      </c>
      <c r="L66" s="65">
        <v>54</v>
      </c>
      <c r="M66" s="66">
        <v>20</v>
      </c>
      <c r="N66" s="67">
        <v>4</v>
      </c>
      <c r="O66" s="67"/>
      <c r="P66" s="67"/>
      <c r="Q66" s="67"/>
      <c r="R66" s="67"/>
      <c r="S66" s="24">
        <f t="shared" si="0"/>
        <v>24</v>
      </c>
      <c r="T66" s="25">
        <f>IF($C66="",0,VLOOKUP($C66,[2]Hoja1!$C$11:$D$27,2,FALSE)*M66)+IF($D66="",0,VLOOKUP($D66,[2]Hoja1!$C$11:$D$27,2,FALSE)*N66)+IF($F66="",0,VLOOKUP($F66,[2]Hoja1!$C$11:$D$27,2,FALSE)*P66)+IF(R66="",0,R66*0.5)</f>
        <v>12</v>
      </c>
      <c r="U66" s="22" t="str">
        <f t="shared" si="24"/>
        <v/>
      </c>
      <c r="V66" s="67"/>
      <c r="W66" s="68">
        <v>1.5</v>
      </c>
      <c r="X66" s="67"/>
      <c r="Y66" s="67"/>
      <c r="Z66" s="67"/>
      <c r="AA66" s="67"/>
      <c r="AB66" s="67">
        <v>3</v>
      </c>
      <c r="AC66" s="67">
        <v>1</v>
      </c>
      <c r="AD66" s="67">
        <v>0.5</v>
      </c>
      <c r="AE66" s="67"/>
      <c r="AF66" s="67"/>
      <c r="AG66" s="69"/>
      <c r="AH66" s="28">
        <f t="shared" si="22"/>
        <v>18</v>
      </c>
      <c r="AI66" s="66"/>
      <c r="AJ66" s="67"/>
      <c r="AK66" s="67"/>
      <c r="AL66" s="67">
        <v>2</v>
      </c>
      <c r="AM66" s="67" t="s">
        <v>49</v>
      </c>
      <c r="AN66" s="30">
        <f t="shared" si="2"/>
        <v>2</v>
      </c>
      <c r="AO66" s="70"/>
      <c r="AP66" s="70"/>
      <c r="AQ66" s="33">
        <f t="shared" si="3"/>
        <v>0</v>
      </c>
      <c r="AR66" s="60">
        <f t="shared" si="17"/>
        <v>44</v>
      </c>
      <c r="AS66" s="343">
        <f t="shared" si="18"/>
        <v>10</v>
      </c>
      <c r="AT66" s="355">
        <v>40.35</v>
      </c>
      <c r="AU66" s="356">
        <f t="shared" si="19"/>
        <v>18</v>
      </c>
      <c r="AV66" s="357">
        <f t="shared" si="20"/>
        <v>1.3333333333333333</v>
      </c>
      <c r="AW66" s="358">
        <f t="shared" si="21"/>
        <v>0</v>
      </c>
      <c r="AX66" s="356">
        <f t="shared" si="9"/>
        <v>21.016666666666669</v>
      </c>
      <c r="AY66" s="359">
        <f t="shared" si="11"/>
        <v>0.46134130713370358</v>
      </c>
      <c r="AZ66" s="360">
        <f t="shared" si="10"/>
        <v>0.53865869286629653</v>
      </c>
      <c r="BA66" s="287">
        <v>2134907</v>
      </c>
      <c r="BB66" s="287">
        <f t="shared" si="12"/>
        <v>39535.314814814818</v>
      </c>
    </row>
    <row r="67" spans="1:54" ht="15.75" thickBot="1" x14ac:dyDescent="0.3">
      <c r="A67" s="17" t="s">
        <v>449</v>
      </c>
      <c r="B67" s="17" t="s">
        <v>450</v>
      </c>
      <c r="C67" s="18" t="s">
        <v>114</v>
      </c>
      <c r="D67" s="18"/>
      <c r="E67" s="18"/>
      <c r="F67" s="18"/>
      <c r="G67" s="19" t="s">
        <v>57</v>
      </c>
      <c r="H67" s="19"/>
      <c r="I67" s="20"/>
      <c r="J67" s="20"/>
      <c r="K67" s="20"/>
      <c r="L67" s="72">
        <v>54</v>
      </c>
      <c r="M67" s="22">
        <v>21</v>
      </c>
      <c r="N67" s="22"/>
      <c r="O67" s="22"/>
      <c r="P67" s="22"/>
      <c r="Q67" s="22"/>
      <c r="R67" s="23">
        <f>IF(G67="x",1,"")</f>
        <v>1</v>
      </c>
      <c r="S67" s="24">
        <f t="shared" si="0"/>
        <v>22</v>
      </c>
      <c r="T67" s="25">
        <f>IF($C67="",0,VLOOKUP($C67,[2]Hoja1!$C$11:$D$27,2,FALSE)*M67)+IF($D67="",0,VLOOKUP($D67,[2]Hoja1!$C$11:$D$27,2,FALSE)*N67)+IF($F67="",0,VLOOKUP($F67,[2]Hoja1!$C$11:$D$27,2,FALSE)*P67)+IF(R67="",0,R67*0.5)</f>
        <v>11</v>
      </c>
      <c r="U67" s="22">
        <f t="shared" si="24"/>
        <v>4</v>
      </c>
      <c r="V67" s="22">
        <v>4</v>
      </c>
      <c r="W67" s="26">
        <v>1.5</v>
      </c>
      <c r="X67" s="22"/>
      <c r="Y67" s="22"/>
      <c r="Z67" s="22"/>
      <c r="AA67" s="22"/>
      <c r="AB67" s="22"/>
      <c r="AC67" s="22">
        <v>2</v>
      </c>
      <c r="AD67" s="22">
        <v>1</v>
      </c>
      <c r="AE67" s="22"/>
      <c r="AF67" s="22">
        <v>5</v>
      </c>
      <c r="AG67" s="29" t="s">
        <v>451</v>
      </c>
      <c r="AH67" s="28">
        <f t="shared" si="22"/>
        <v>28.5</v>
      </c>
      <c r="AI67" s="22"/>
      <c r="AJ67" s="22"/>
      <c r="AK67" s="22"/>
      <c r="AL67" s="22"/>
      <c r="AM67" s="22"/>
      <c r="AN67" s="30">
        <f t="shared" si="2"/>
        <v>0</v>
      </c>
      <c r="AO67" s="39"/>
      <c r="AP67" s="39"/>
      <c r="AQ67" s="33">
        <f t="shared" si="3"/>
        <v>0</v>
      </c>
      <c r="AR67" s="60">
        <f t="shared" si="17"/>
        <v>50.5</v>
      </c>
      <c r="AS67" s="343">
        <f t="shared" si="18"/>
        <v>3.5</v>
      </c>
      <c r="AT67" s="355">
        <v>40.35</v>
      </c>
      <c r="AU67" s="356">
        <f t="shared" si="19"/>
        <v>14.666666666666666</v>
      </c>
      <c r="AV67" s="357">
        <f t="shared" si="20"/>
        <v>0</v>
      </c>
      <c r="AW67" s="358">
        <f t="shared" si="21"/>
        <v>0</v>
      </c>
      <c r="AX67" s="356">
        <f t="shared" si="9"/>
        <v>25.683333333333337</v>
      </c>
      <c r="AY67" s="359">
        <f t="shared" si="11"/>
        <v>0.36348616274266832</v>
      </c>
      <c r="AZ67" s="360">
        <f t="shared" si="10"/>
        <v>0.63651383725733179</v>
      </c>
      <c r="BA67" s="287">
        <v>2323208</v>
      </c>
      <c r="BB67" s="287">
        <f t="shared" si="12"/>
        <v>43022.370370370372</v>
      </c>
    </row>
    <row r="68" spans="1:54" ht="15.75" thickBot="1" x14ac:dyDescent="0.3">
      <c r="A68" s="17" t="s">
        <v>452</v>
      </c>
      <c r="B68" s="17" t="s">
        <v>453</v>
      </c>
      <c r="C68" s="61" t="s">
        <v>74</v>
      </c>
      <c r="D68" s="62"/>
      <c r="E68" s="62"/>
      <c r="F68" s="62"/>
      <c r="G68" s="63" t="s">
        <v>57</v>
      </c>
      <c r="H68" s="63"/>
      <c r="I68" s="64"/>
      <c r="J68" s="64"/>
      <c r="K68" s="64" t="s">
        <v>349</v>
      </c>
      <c r="L68" s="65">
        <v>54</v>
      </c>
      <c r="M68" s="66">
        <v>18</v>
      </c>
      <c r="N68" s="67"/>
      <c r="O68" s="67"/>
      <c r="P68" s="67">
        <v>4</v>
      </c>
      <c r="Q68" s="67"/>
      <c r="R68" s="67">
        <v>1</v>
      </c>
      <c r="S68" s="24">
        <f t="shared" si="0"/>
        <v>23</v>
      </c>
      <c r="T68" s="25">
        <f>IF($C68="",0,VLOOKUP($C68,[2]Hoja1!$C$11:$D$27,2,FALSE)*M68)+IF($D68="",0,VLOOKUP($D68,[2]Hoja1!$C$11:$D$27,2,FALSE)*N68)+IF($F68="",0,VLOOKUP($F68,[2]Hoja1!$C$11:$D$27,2,FALSE)*P68)+IF(R68="",0,R68*0.5)</f>
        <v>9.5</v>
      </c>
      <c r="U68" s="22">
        <f t="shared" si="24"/>
        <v>4</v>
      </c>
      <c r="V68" s="67">
        <v>4</v>
      </c>
      <c r="W68" s="68">
        <v>1.5</v>
      </c>
      <c r="X68" s="67">
        <v>2</v>
      </c>
      <c r="Y68" s="67"/>
      <c r="Z68" s="67"/>
      <c r="AA68" s="67"/>
      <c r="AB68" s="67">
        <v>2</v>
      </c>
      <c r="AC68" s="67">
        <v>1</v>
      </c>
      <c r="AD68" s="67">
        <v>0.5</v>
      </c>
      <c r="AE68" s="67"/>
      <c r="AF68" s="67">
        <v>1</v>
      </c>
      <c r="AG68" s="69" t="s">
        <v>297</v>
      </c>
      <c r="AH68" s="28">
        <f t="shared" si="22"/>
        <v>25.5</v>
      </c>
      <c r="AI68" s="66"/>
      <c r="AJ68" s="67"/>
      <c r="AK68" s="67"/>
      <c r="AL68" s="67"/>
      <c r="AM68" s="67"/>
      <c r="AN68" s="30">
        <f t="shared" si="2"/>
        <v>0</v>
      </c>
      <c r="AO68" s="70"/>
      <c r="AP68" s="70"/>
      <c r="AQ68" s="33">
        <f t="shared" si="3"/>
        <v>0</v>
      </c>
      <c r="AR68" s="60">
        <f t="shared" ref="AR68:AR99" si="25">+S68+AH68+AN68+AQ68</f>
        <v>48.5</v>
      </c>
      <c r="AS68" s="343">
        <f t="shared" ref="AS68:AS99" si="26">+L68-AR68</f>
        <v>5.5</v>
      </c>
      <c r="AT68" s="355">
        <v>40.266666666666666</v>
      </c>
      <c r="AU68" s="356">
        <f t="shared" ref="AU68:AU102" si="27">+(S68+AB68)*40/60</f>
        <v>16.666666666666668</v>
      </c>
      <c r="AV68" s="357">
        <f t="shared" ref="AV68:AV102" si="28">+AN68*40/60</f>
        <v>0</v>
      </c>
      <c r="AW68" s="358">
        <f t="shared" ref="AW68:AW102" si="29">+AQ68*0.666666666666667</f>
        <v>0</v>
      </c>
      <c r="AX68" s="356">
        <f t="shared" ref="AX68:AX102" si="30">+AT68-AU68-AV68-AW68</f>
        <v>23.599999999999998</v>
      </c>
      <c r="AY68" s="359">
        <f t="shared" si="11"/>
        <v>0.41390728476821198</v>
      </c>
      <c r="AZ68" s="360">
        <f t="shared" ref="AZ68:AZ102" si="31">+AX68/(AU68+AX68)</f>
        <v>0.58609271523178808</v>
      </c>
      <c r="BA68" s="287">
        <v>3807551</v>
      </c>
      <c r="BB68" s="287">
        <f t="shared" si="12"/>
        <v>70510.203703703708</v>
      </c>
    </row>
    <row r="69" spans="1:54" ht="15.75" thickBot="1" x14ac:dyDescent="0.3">
      <c r="A69" s="17" t="s">
        <v>454</v>
      </c>
      <c r="B69" s="17" t="s">
        <v>455</v>
      </c>
      <c r="C69" s="18" t="s">
        <v>126</v>
      </c>
      <c r="D69" s="18"/>
      <c r="E69" s="18"/>
      <c r="F69" s="18"/>
      <c r="G69" s="19"/>
      <c r="H69" s="19"/>
      <c r="I69" s="20"/>
      <c r="J69" s="20"/>
      <c r="K69" s="20" t="s">
        <v>309</v>
      </c>
      <c r="L69" s="72">
        <v>41</v>
      </c>
      <c r="M69" s="22">
        <v>22</v>
      </c>
      <c r="N69" s="22"/>
      <c r="O69" s="22"/>
      <c r="P69" s="22"/>
      <c r="Q69" s="22"/>
      <c r="R69" s="23" t="str">
        <f>IF(G69="x",1,"")</f>
        <v/>
      </c>
      <c r="S69" s="24">
        <f t="shared" si="0"/>
        <v>22</v>
      </c>
      <c r="T69" s="25">
        <f>IF($C69="",0,VLOOKUP($C69,[2]Hoja1!$C$11:$D$27,2,FALSE)*M69)+IF($D69="",0,VLOOKUP($D69,[2]Hoja1!$C$11:$D$27,2,FALSE)*N69)+IF($F69="",0,VLOOKUP($F69,[2]Hoja1!$C$11:$D$27,2,FALSE)*P69)+IF(R69="",0,R69*0.5)</f>
        <v>6.6</v>
      </c>
      <c r="U69" s="22" t="str">
        <f t="shared" si="24"/>
        <v/>
      </c>
      <c r="V69" s="22" t="s">
        <v>291</v>
      </c>
      <c r="W69" s="26">
        <v>1.5</v>
      </c>
      <c r="X69" s="22"/>
      <c r="Y69" s="22">
        <v>10</v>
      </c>
      <c r="Z69" s="22"/>
      <c r="AA69" s="22"/>
      <c r="AB69" s="22"/>
      <c r="AC69" s="22"/>
      <c r="AD69" s="22"/>
      <c r="AE69" s="22"/>
      <c r="AF69" s="22">
        <v>6</v>
      </c>
      <c r="AG69" s="29" t="s">
        <v>313</v>
      </c>
      <c r="AH69" s="28">
        <f t="shared" si="22"/>
        <v>24.1</v>
      </c>
      <c r="AI69" s="22"/>
      <c r="AJ69" s="22"/>
      <c r="AK69" s="22"/>
      <c r="AL69" s="22"/>
      <c r="AM69" s="22"/>
      <c r="AN69" s="30">
        <f t="shared" si="2"/>
        <v>0</v>
      </c>
      <c r="AO69" s="39"/>
      <c r="AP69" s="39"/>
      <c r="AQ69" s="33">
        <f t="shared" si="3"/>
        <v>0</v>
      </c>
      <c r="AR69" s="60">
        <f t="shared" si="25"/>
        <v>46.1</v>
      </c>
      <c r="AS69" s="343">
        <f t="shared" si="26"/>
        <v>-5.1000000000000014</v>
      </c>
      <c r="AT69" s="355">
        <v>27.2</v>
      </c>
      <c r="AU69" s="356">
        <f t="shared" si="27"/>
        <v>14.666666666666666</v>
      </c>
      <c r="AV69" s="357">
        <f t="shared" si="28"/>
        <v>0</v>
      </c>
      <c r="AW69" s="358">
        <f t="shared" si="29"/>
        <v>0</v>
      </c>
      <c r="AX69" s="356">
        <f t="shared" si="30"/>
        <v>12.533333333333333</v>
      </c>
      <c r="AY69" s="359">
        <f t="shared" ref="AY69:AY102" si="32">+AU69/(AU69+AX69)</f>
        <v>0.53921568627450978</v>
      </c>
      <c r="AZ69" s="360">
        <f t="shared" si="31"/>
        <v>0.46078431372549022</v>
      </c>
      <c r="BA69" s="287">
        <v>2555481</v>
      </c>
      <c r="BB69" s="287">
        <f t="shared" si="12"/>
        <v>62328.804878048781</v>
      </c>
    </row>
    <row r="70" spans="1:54" ht="15.75" thickBot="1" x14ac:dyDescent="0.3">
      <c r="A70" s="17" t="s">
        <v>456</v>
      </c>
      <c r="B70" s="17" t="s">
        <v>457</v>
      </c>
      <c r="C70" s="73" t="s">
        <v>64</v>
      </c>
      <c r="D70" s="73"/>
      <c r="E70" s="73"/>
      <c r="F70" s="73"/>
      <c r="G70" s="19"/>
      <c r="H70" s="19"/>
      <c r="I70" s="20"/>
      <c r="J70" s="20"/>
      <c r="K70" s="20"/>
      <c r="L70" s="72">
        <v>54</v>
      </c>
      <c r="M70" s="22">
        <v>28</v>
      </c>
      <c r="N70" s="22"/>
      <c r="O70" s="22"/>
      <c r="P70" s="22"/>
      <c r="Q70" s="22">
        <v>2</v>
      </c>
      <c r="R70" s="23">
        <v>2</v>
      </c>
      <c r="S70" s="24">
        <f t="shared" si="0"/>
        <v>32</v>
      </c>
      <c r="T70" s="25">
        <f>IF($C70="",0,VLOOKUP($C70,[2]Hoja1!$C$11:$D$27,2,FALSE)*M70)+IF($D70="",0,VLOOKUP($D70,[2]Hoja1!$C$11:$D$27,2,FALSE)*N70)+IF($F70="",0,VLOOKUP($F70,[2]Hoja1!$C$11:$D$27,2,FALSE)*P70)+IF(R70="",0,R70*0.5)</f>
        <v>15</v>
      </c>
      <c r="U70" s="22" t="str">
        <f t="shared" si="24"/>
        <v/>
      </c>
      <c r="V70" s="22"/>
      <c r="W70" s="26">
        <v>1.5</v>
      </c>
      <c r="X70" s="22"/>
      <c r="Y70" s="22"/>
      <c r="Z70" s="22"/>
      <c r="AA70" s="22"/>
      <c r="AB70" s="22"/>
      <c r="AC70" s="22">
        <v>1</v>
      </c>
      <c r="AD70" s="22">
        <v>1</v>
      </c>
      <c r="AE70" s="22">
        <v>1</v>
      </c>
      <c r="AF70" s="22">
        <v>2</v>
      </c>
      <c r="AG70" s="29" t="s">
        <v>458</v>
      </c>
      <c r="AH70" s="28">
        <f t="shared" si="22"/>
        <v>21.5</v>
      </c>
      <c r="AI70" s="22"/>
      <c r="AJ70" s="22"/>
      <c r="AK70" s="22"/>
      <c r="AL70" s="22"/>
      <c r="AM70" s="22"/>
      <c r="AN70" s="30">
        <f t="shared" si="2"/>
        <v>0</v>
      </c>
      <c r="AO70" s="39"/>
      <c r="AP70" s="39"/>
      <c r="AQ70" s="33">
        <f t="shared" si="3"/>
        <v>0</v>
      </c>
      <c r="AR70" s="60">
        <f t="shared" si="25"/>
        <v>53.5</v>
      </c>
      <c r="AS70" s="343">
        <f t="shared" si="26"/>
        <v>0.5</v>
      </c>
      <c r="AT70" s="355">
        <v>40.466666666666669</v>
      </c>
      <c r="AU70" s="356">
        <f t="shared" si="27"/>
        <v>21.333333333333332</v>
      </c>
      <c r="AV70" s="357">
        <f t="shared" si="28"/>
        <v>0</v>
      </c>
      <c r="AW70" s="358">
        <f t="shared" si="29"/>
        <v>0</v>
      </c>
      <c r="AX70" s="356">
        <f t="shared" si="30"/>
        <v>19.133333333333336</v>
      </c>
      <c r="AY70" s="359">
        <f t="shared" si="32"/>
        <v>0.52718286655683688</v>
      </c>
      <c r="AZ70" s="360">
        <f t="shared" si="31"/>
        <v>0.47281713344316317</v>
      </c>
      <c r="BA70" s="287">
        <v>1750000</v>
      </c>
      <c r="BB70" s="287">
        <f t="shared" ref="BB70:BB102" si="33">+BA70/L70</f>
        <v>32407.407407407409</v>
      </c>
    </row>
    <row r="71" spans="1:54" ht="15.75" thickBot="1" x14ac:dyDescent="0.3">
      <c r="A71" s="17" t="s">
        <v>459</v>
      </c>
      <c r="B71" s="17" t="s">
        <v>460</v>
      </c>
      <c r="C71" s="18" t="s">
        <v>64</v>
      </c>
      <c r="D71" s="18" t="s">
        <v>98</v>
      </c>
      <c r="E71" s="18"/>
      <c r="F71" s="18"/>
      <c r="G71" s="19" t="s">
        <v>57</v>
      </c>
      <c r="H71" s="19"/>
      <c r="I71" s="20"/>
      <c r="J71" s="20"/>
      <c r="K71" s="20"/>
      <c r="L71" s="72">
        <v>54</v>
      </c>
      <c r="M71" s="22">
        <v>22</v>
      </c>
      <c r="N71" s="22"/>
      <c r="O71" s="22"/>
      <c r="P71" s="22"/>
      <c r="Q71" s="22"/>
      <c r="R71" s="23">
        <f>IF(G71="x",1,"")</f>
        <v>1</v>
      </c>
      <c r="S71" s="24">
        <f t="shared" si="0"/>
        <v>23</v>
      </c>
      <c r="T71" s="25">
        <f>IF($C71="",0,VLOOKUP($C71,[2]Hoja1!$C$11:$D$27,2,FALSE)*M71)+IF($D71="",0,VLOOKUP($D71,[2]Hoja1!$C$11:$D$27,2,FALSE)*N71)+IF($F71="",0,VLOOKUP($F71,[2]Hoja1!$C$11:$D$27,2,FALSE)*P71)+IF(R71="",0,R71*0.5)</f>
        <v>11.5</v>
      </c>
      <c r="U71" s="22">
        <v>5</v>
      </c>
      <c r="V71" s="22">
        <v>0</v>
      </c>
      <c r="W71" s="26">
        <v>1.5</v>
      </c>
      <c r="X71" s="22">
        <v>2</v>
      </c>
      <c r="Y71" s="22"/>
      <c r="Z71" s="22"/>
      <c r="AA71" s="22"/>
      <c r="AB71" s="22"/>
      <c r="AC71" s="22">
        <v>2</v>
      </c>
      <c r="AD71" s="22">
        <v>1</v>
      </c>
      <c r="AE71" s="22"/>
      <c r="AF71" s="22">
        <v>7</v>
      </c>
      <c r="AG71" s="29" t="s">
        <v>461</v>
      </c>
      <c r="AH71" s="28">
        <f t="shared" si="22"/>
        <v>30</v>
      </c>
      <c r="AI71" s="22"/>
      <c r="AJ71" s="22"/>
      <c r="AK71" s="22"/>
      <c r="AL71" s="22"/>
      <c r="AM71" s="22"/>
      <c r="AN71" s="30">
        <f t="shared" si="2"/>
        <v>0</v>
      </c>
      <c r="AO71" s="39"/>
      <c r="AP71" s="39"/>
      <c r="AQ71" s="33">
        <f t="shared" si="3"/>
        <v>0</v>
      </c>
      <c r="AR71" s="60">
        <f t="shared" si="25"/>
        <v>53</v>
      </c>
      <c r="AS71" s="343">
        <f t="shared" si="26"/>
        <v>1</v>
      </c>
      <c r="AT71" s="355">
        <v>40.366666666666667</v>
      </c>
      <c r="AU71" s="356">
        <f t="shared" si="27"/>
        <v>15.333333333333334</v>
      </c>
      <c r="AV71" s="357">
        <f t="shared" si="28"/>
        <v>0</v>
      </c>
      <c r="AW71" s="358">
        <f t="shared" si="29"/>
        <v>0</v>
      </c>
      <c r="AX71" s="356">
        <f t="shared" si="30"/>
        <v>25.033333333333331</v>
      </c>
      <c r="AY71" s="359">
        <f t="shared" si="32"/>
        <v>0.37985136251032203</v>
      </c>
      <c r="AZ71" s="360">
        <f t="shared" si="31"/>
        <v>0.62014863748967786</v>
      </c>
      <c r="BA71" s="287">
        <v>1617718</v>
      </c>
      <c r="BB71" s="287">
        <f t="shared" si="33"/>
        <v>29957.740740740741</v>
      </c>
    </row>
    <row r="72" spans="1:54" ht="15.75" thickBot="1" x14ac:dyDescent="0.3">
      <c r="A72" s="17" t="s">
        <v>462</v>
      </c>
      <c r="B72" s="17" t="s">
        <v>463</v>
      </c>
      <c r="C72" s="18" t="s">
        <v>64</v>
      </c>
      <c r="D72" s="18"/>
      <c r="E72" s="18"/>
      <c r="F72" s="18"/>
      <c r="G72" s="19" t="s">
        <v>57</v>
      </c>
      <c r="H72" s="19"/>
      <c r="I72" s="20"/>
      <c r="J72" s="20"/>
      <c r="K72" s="20"/>
      <c r="L72" s="72">
        <v>54</v>
      </c>
      <c r="M72" s="22">
        <v>22</v>
      </c>
      <c r="N72" s="22"/>
      <c r="O72" s="22"/>
      <c r="P72" s="22"/>
      <c r="Q72" s="22">
        <v>2</v>
      </c>
      <c r="R72" s="23">
        <f>IF(G72="x",1,"")</f>
        <v>1</v>
      </c>
      <c r="S72" s="24">
        <f t="shared" si="0"/>
        <v>25</v>
      </c>
      <c r="T72" s="25">
        <f>IF($C72="",0,VLOOKUP($C72,[2]Hoja1!$C$11:$D$27,2,FALSE)*M72)+IF($D72="",0,VLOOKUP($D72,[2]Hoja1!$C$11:$D$27,2,FALSE)*N72)+IF($F72="",0,VLOOKUP($F72,[2]Hoja1!$C$11:$D$27,2,FALSE)*P72)+IF(R72="",0,R72*0.5)</f>
        <v>11.5</v>
      </c>
      <c r="U72" s="22">
        <v>5</v>
      </c>
      <c r="V72" s="22">
        <v>0</v>
      </c>
      <c r="W72" s="26">
        <v>1.5</v>
      </c>
      <c r="X72" s="22"/>
      <c r="Y72" s="22"/>
      <c r="Z72" s="22"/>
      <c r="AA72" s="22"/>
      <c r="AB72" s="22"/>
      <c r="AC72" s="22">
        <v>2</v>
      </c>
      <c r="AD72" s="22">
        <v>1</v>
      </c>
      <c r="AE72" s="22">
        <v>1</v>
      </c>
      <c r="AF72" s="22">
        <v>2</v>
      </c>
      <c r="AG72" s="29" t="s">
        <v>464</v>
      </c>
      <c r="AH72" s="28">
        <f t="shared" si="22"/>
        <v>24</v>
      </c>
      <c r="AI72" s="22"/>
      <c r="AJ72" s="22"/>
      <c r="AK72" s="22"/>
      <c r="AL72" s="22"/>
      <c r="AM72" s="22"/>
      <c r="AN72" s="30">
        <f t="shared" si="2"/>
        <v>0</v>
      </c>
      <c r="AO72" s="39"/>
      <c r="AP72" s="39"/>
      <c r="AQ72" s="33">
        <f t="shared" si="3"/>
        <v>0</v>
      </c>
      <c r="AR72" s="60">
        <f t="shared" si="25"/>
        <v>49</v>
      </c>
      <c r="AS72" s="343">
        <f t="shared" si="26"/>
        <v>5</v>
      </c>
      <c r="AT72" s="355">
        <v>40.366666666666667</v>
      </c>
      <c r="AU72" s="356">
        <f t="shared" si="27"/>
        <v>16.666666666666668</v>
      </c>
      <c r="AV72" s="357">
        <f t="shared" si="28"/>
        <v>0</v>
      </c>
      <c r="AW72" s="358">
        <f t="shared" si="29"/>
        <v>0</v>
      </c>
      <c r="AX72" s="356">
        <f t="shared" si="30"/>
        <v>23.7</v>
      </c>
      <c r="AY72" s="359">
        <f t="shared" si="32"/>
        <v>0.41288191577208921</v>
      </c>
      <c r="AZ72" s="360">
        <f t="shared" si="31"/>
        <v>0.58711808422791079</v>
      </c>
      <c r="BA72" s="287">
        <v>1793750</v>
      </c>
      <c r="BB72" s="287">
        <f t="shared" si="33"/>
        <v>33217.592592592591</v>
      </c>
    </row>
    <row r="73" spans="1:54" ht="15.75" thickBot="1" x14ac:dyDescent="0.3">
      <c r="A73" s="17" t="s">
        <v>465</v>
      </c>
      <c r="B73" s="17" t="s">
        <v>466</v>
      </c>
      <c r="C73" s="75" t="s">
        <v>295</v>
      </c>
      <c r="D73" s="76"/>
      <c r="E73" s="76"/>
      <c r="F73" s="76"/>
      <c r="G73" s="63"/>
      <c r="H73" s="63"/>
      <c r="I73" s="64"/>
      <c r="J73" s="64"/>
      <c r="K73" s="64" t="s">
        <v>296</v>
      </c>
      <c r="L73" s="65">
        <v>54</v>
      </c>
      <c r="M73" s="66">
        <v>16</v>
      </c>
      <c r="N73" s="67"/>
      <c r="O73" s="67"/>
      <c r="P73" s="67">
        <v>3</v>
      </c>
      <c r="Q73" s="67"/>
      <c r="R73" s="67"/>
      <c r="S73" s="24">
        <f t="shared" si="0"/>
        <v>19</v>
      </c>
      <c r="T73" s="25">
        <f>IF($C73="",0,VLOOKUP($C73,[2]Hoja1!$C$11:$D$27,2,FALSE)*M73)+IF($D73="",0,VLOOKUP($D73,[2]Hoja1!$C$11:$D$27,2,FALSE)*N73)+IF($F73="",0,VLOOKUP($F73,[2]Hoja1!$C$11:$D$27,2,FALSE)*P73)+IF(R73="",0,R73*0.5)</f>
        <v>8</v>
      </c>
      <c r="U73" s="22" t="str">
        <f>IF(G73="x",4,"")</f>
        <v/>
      </c>
      <c r="V73" s="67"/>
      <c r="W73" s="68">
        <v>1.5</v>
      </c>
      <c r="X73" s="67"/>
      <c r="Y73" s="67"/>
      <c r="Z73" s="67"/>
      <c r="AA73" s="67"/>
      <c r="AB73" s="67"/>
      <c r="AC73" s="67"/>
      <c r="AD73" s="67"/>
      <c r="AE73" s="67"/>
      <c r="AF73" s="67"/>
      <c r="AG73" s="69"/>
      <c r="AH73" s="28">
        <f t="shared" si="22"/>
        <v>9.5</v>
      </c>
      <c r="AI73" s="66"/>
      <c r="AJ73" s="67"/>
      <c r="AK73" s="67"/>
      <c r="AL73" s="67"/>
      <c r="AM73" s="67"/>
      <c r="AN73" s="30">
        <f t="shared" si="2"/>
        <v>0</v>
      </c>
      <c r="AO73" s="70"/>
      <c r="AP73" s="70"/>
      <c r="AQ73" s="33">
        <f t="shared" si="3"/>
        <v>0</v>
      </c>
      <c r="AR73" s="60">
        <f t="shared" si="25"/>
        <v>28.5</v>
      </c>
      <c r="AS73" s="343">
        <f t="shared" si="26"/>
        <v>25.5</v>
      </c>
      <c r="AT73" s="355">
        <v>40.31666666666667</v>
      </c>
      <c r="AU73" s="356">
        <f t="shared" si="27"/>
        <v>12.666666666666666</v>
      </c>
      <c r="AV73" s="357">
        <f t="shared" si="28"/>
        <v>0</v>
      </c>
      <c r="AW73" s="358">
        <f t="shared" si="29"/>
        <v>0</v>
      </c>
      <c r="AX73" s="356">
        <f t="shared" si="30"/>
        <v>27.650000000000006</v>
      </c>
      <c r="AY73" s="359">
        <f t="shared" si="32"/>
        <v>0.31417941298057045</v>
      </c>
      <c r="AZ73" s="360">
        <f t="shared" si="31"/>
        <v>0.68582058701942961</v>
      </c>
      <c r="BA73" s="287">
        <v>2000000</v>
      </c>
      <c r="BB73" s="287">
        <f t="shared" si="33"/>
        <v>37037.037037037036</v>
      </c>
    </row>
    <row r="74" spans="1:54" ht="15.75" thickBot="1" x14ac:dyDescent="0.3">
      <c r="A74" s="17" t="s">
        <v>467</v>
      </c>
      <c r="B74" s="17" t="s">
        <v>468</v>
      </c>
      <c r="C74" s="18" t="s">
        <v>55</v>
      </c>
      <c r="D74" s="18"/>
      <c r="E74" s="18"/>
      <c r="F74" s="18" t="s">
        <v>55</v>
      </c>
      <c r="G74" s="19"/>
      <c r="H74" s="19"/>
      <c r="I74" s="20"/>
      <c r="J74" s="20"/>
      <c r="K74" s="20"/>
      <c r="L74" s="72">
        <v>54</v>
      </c>
      <c r="M74" s="22">
        <v>18</v>
      </c>
      <c r="N74" s="22"/>
      <c r="O74" s="22"/>
      <c r="P74" s="22">
        <v>2</v>
      </c>
      <c r="Q74" s="22"/>
      <c r="R74" s="23" t="str">
        <f>IF(G74="x",1,"")</f>
        <v/>
      </c>
      <c r="S74" s="24">
        <f t="shared" si="0"/>
        <v>20</v>
      </c>
      <c r="T74" s="25">
        <f>IF($C74="",0,VLOOKUP($C74,[2]Hoja1!$C$11:$D$27,2,FALSE)*M74)+IF($D74="",0,VLOOKUP($D74,[2]Hoja1!$C$11:$D$27,2,FALSE)*N74)+IF($F74="",0,VLOOKUP($F74,[2]Hoja1!$C$11:$D$27,2,FALSE)*P74)+IF(R74="",0,R74*0.5)</f>
        <v>11.999999999999998</v>
      </c>
      <c r="U74" s="22" t="str">
        <f>IF(G74="x",4,"")</f>
        <v/>
      </c>
      <c r="V74" s="22" t="s">
        <v>291</v>
      </c>
      <c r="W74" s="26">
        <v>1.5</v>
      </c>
      <c r="X74" s="22"/>
      <c r="Y74" s="22"/>
      <c r="Z74" s="22"/>
      <c r="AA74" s="22"/>
      <c r="AB74" s="22">
        <v>2</v>
      </c>
      <c r="AC74" s="22">
        <v>1</v>
      </c>
      <c r="AD74" s="22">
        <v>0.5</v>
      </c>
      <c r="AE74" s="22"/>
      <c r="AF74" s="22">
        <v>1</v>
      </c>
      <c r="AG74" s="29" t="s">
        <v>297</v>
      </c>
      <c r="AH74" s="28">
        <f t="shared" si="22"/>
        <v>18</v>
      </c>
      <c r="AI74" s="22"/>
      <c r="AJ74" s="22"/>
      <c r="AK74" s="22"/>
      <c r="AL74" s="22"/>
      <c r="AM74" s="22"/>
      <c r="AN74" s="30">
        <f t="shared" si="2"/>
        <v>0</v>
      </c>
      <c r="AO74" s="39"/>
      <c r="AP74" s="39"/>
      <c r="AQ74" s="33">
        <f t="shared" si="3"/>
        <v>0</v>
      </c>
      <c r="AR74" s="60">
        <f t="shared" si="25"/>
        <v>38</v>
      </c>
      <c r="AS74" s="343">
        <f t="shared" si="26"/>
        <v>16</v>
      </c>
      <c r="AT74" s="355">
        <v>40.333333333333336</v>
      </c>
      <c r="AU74" s="356">
        <f t="shared" si="27"/>
        <v>14.666666666666666</v>
      </c>
      <c r="AV74" s="357">
        <f t="shared" si="28"/>
        <v>0</v>
      </c>
      <c r="AW74" s="358">
        <f t="shared" si="29"/>
        <v>0</v>
      </c>
      <c r="AX74" s="356">
        <f t="shared" si="30"/>
        <v>25.666666666666671</v>
      </c>
      <c r="AY74" s="359">
        <f t="shared" si="32"/>
        <v>0.36363636363636359</v>
      </c>
      <c r="AZ74" s="360">
        <f t="shared" si="31"/>
        <v>0.63636363636363646</v>
      </c>
      <c r="BA74" s="287">
        <v>4448759</v>
      </c>
      <c r="BB74" s="287">
        <f t="shared" si="33"/>
        <v>82384.425925925927</v>
      </c>
    </row>
    <row r="75" spans="1:54" ht="15.75" thickBot="1" x14ac:dyDescent="0.3">
      <c r="A75" s="17" t="s">
        <v>469</v>
      </c>
      <c r="B75" s="17" t="s">
        <v>470</v>
      </c>
      <c r="C75" s="18" t="s">
        <v>64</v>
      </c>
      <c r="D75" s="18"/>
      <c r="E75" s="18"/>
      <c r="F75" s="18"/>
      <c r="G75" s="19" t="s">
        <v>57</v>
      </c>
      <c r="H75" s="19"/>
      <c r="I75" s="20"/>
      <c r="J75" s="20"/>
      <c r="K75" s="20"/>
      <c r="L75" s="72">
        <v>54</v>
      </c>
      <c r="M75" s="22">
        <v>22</v>
      </c>
      <c r="N75" s="22"/>
      <c r="O75" s="22"/>
      <c r="P75" s="22"/>
      <c r="Q75" s="22">
        <v>1</v>
      </c>
      <c r="R75" s="23">
        <f>IF(G75="x",1,"")</f>
        <v>1</v>
      </c>
      <c r="S75" s="24">
        <f t="shared" si="0"/>
        <v>24</v>
      </c>
      <c r="T75" s="25">
        <f>IF($C75="",0,VLOOKUP($C75,[2]Hoja1!$C$11:$D$27,2,FALSE)*M75)+IF($D75="",0,VLOOKUP($D75,[2]Hoja1!$C$11:$D$27,2,FALSE)*N75)+IF($F75="",0,VLOOKUP($F75,[2]Hoja1!$C$11:$D$27,2,FALSE)*P75)+IF(R75="",0,R75*0.5)</f>
        <v>11.5</v>
      </c>
      <c r="U75" s="22">
        <v>5</v>
      </c>
      <c r="V75" s="22">
        <v>0</v>
      </c>
      <c r="W75" s="26">
        <v>1.5</v>
      </c>
      <c r="X75" s="22"/>
      <c r="Y75" s="22"/>
      <c r="Z75" s="22"/>
      <c r="AA75" s="22"/>
      <c r="AB75" s="22"/>
      <c r="AC75" s="22">
        <v>2</v>
      </c>
      <c r="AD75" s="22">
        <v>1</v>
      </c>
      <c r="AE75" s="22"/>
      <c r="AF75" s="22">
        <v>5</v>
      </c>
      <c r="AG75" s="29" t="s">
        <v>471</v>
      </c>
      <c r="AH75" s="28">
        <f t="shared" si="22"/>
        <v>26</v>
      </c>
      <c r="AI75" s="22"/>
      <c r="AJ75" s="22"/>
      <c r="AK75" s="22"/>
      <c r="AL75" s="22"/>
      <c r="AM75" s="22"/>
      <c r="AN75" s="30">
        <f t="shared" si="2"/>
        <v>0</v>
      </c>
      <c r="AO75" s="39"/>
      <c r="AP75" s="39"/>
      <c r="AQ75" s="33">
        <f t="shared" si="3"/>
        <v>0</v>
      </c>
      <c r="AR75" s="60">
        <f t="shared" si="25"/>
        <v>50</v>
      </c>
      <c r="AS75" s="343">
        <f t="shared" si="26"/>
        <v>4</v>
      </c>
      <c r="AT75" s="355">
        <v>40.366666666666667</v>
      </c>
      <c r="AU75" s="356">
        <f t="shared" si="27"/>
        <v>16</v>
      </c>
      <c r="AV75" s="357">
        <f t="shared" si="28"/>
        <v>0</v>
      </c>
      <c r="AW75" s="358">
        <f t="shared" si="29"/>
        <v>0</v>
      </c>
      <c r="AX75" s="356">
        <f t="shared" si="30"/>
        <v>24.366666666666667</v>
      </c>
      <c r="AY75" s="359">
        <f t="shared" si="32"/>
        <v>0.39636663914120562</v>
      </c>
      <c r="AZ75" s="360">
        <f t="shared" si="31"/>
        <v>0.60363336085879438</v>
      </c>
      <c r="BA75" s="287">
        <v>2190119</v>
      </c>
      <c r="BB75" s="287">
        <f t="shared" si="33"/>
        <v>40557.759259259263</v>
      </c>
    </row>
    <row r="76" spans="1:54" ht="15.75" thickBot="1" x14ac:dyDescent="0.3">
      <c r="A76" s="17" t="s">
        <v>472</v>
      </c>
      <c r="B76" s="17" t="s">
        <v>473</v>
      </c>
      <c r="C76" s="18" t="s">
        <v>126</v>
      </c>
      <c r="D76" s="18"/>
      <c r="E76" s="18"/>
      <c r="F76" s="18"/>
      <c r="G76" s="19" t="s">
        <v>57</v>
      </c>
      <c r="H76" s="19"/>
      <c r="I76" s="20"/>
      <c r="J76" s="20"/>
      <c r="K76" s="20" t="s">
        <v>309</v>
      </c>
      <c r="L76" s="72">
        <v>55</v>
      </c>
      <c r="M76" s="22">
        <v>22</v>
      </c>
      <c r="N76" s="22"/>
      <c r="O76" s="22"/>
      <c r="P76" s="22"/>
      <c r="Q76" s="22"/>
      <c r="R76" s="23">
        <f>IF(G76="x",1,"")</f>
        <v>1</v>
      </c>
      <c r="S76" s="24">
        <f t="shared" si="0"/>
        <v>23</v>
      </c>
      <c r="T76" s="25">
        <f>IF($C76="",0,VLOOKUP($C76,[2]Hoja1!$C$11:$D$27,2,FALSE)*M76)+IF($D76="",0,VLOOKUP($D76,[2]Hoja1!$C$11:$D$27,2,FALSE)*N76)+IF($F76="",0,VLOOKUP($F76,[2]Hoja1!$C$11:$D$27,2,FALSE)*P76)+IF(R76="",0,R76*0.5)</f>
        <v>7.1</v>
      </c>
      <c r="U76" s="22">
        <f>IF(G76="x",4,"")</f>
        <v>4</v>
      </c>
      <c r="V76" s="22">
        <v>4</v>
      </c>
      <c r="W76" s="26">
        <v>1.5</v>
      </c>
      <c r="X76" s="22"/>
      <c r="Y76" s="22">
        <v>10</v>
      </c>
      <c r="Z76" s="22"/>
      <c r="AA76" s="22"/>
      <c r="AB76" s="22">
        <v>3</v>
      </c>
      <c r="AC76" s="22">
        <v>1</v>
      </c>
      <c r="AD76" s="22">
        <v>0.5</v>
      </c>
      <c r="AE76" s="22"/>
      <c r="AF76" s="22">
        <v>8</v>
      </c>
      <c r="AG76" s="29" t="s">
        <v>313</v>
      </c>
      <c r="AH76" s="28">
        <f t="shared" si="22"/>
        <v>39.1</v>
      </c>
      <c r="AI76" s="22"/>
      <c r="AJ76" s="22"/>
      <c r="AK76" s="22"/>
      <c r="AL76" s="22"/>
      <c r="AM76" s="22"/>
      <c r="AN76" s="30">
        <f t="shared" si="2"/>
        <v>0</v>
      </c>
      <c r="AO76" s="39"/>
      <c r="AP76" s="39"/>
      <c r="AQ76" s="33">
        <f t="shared" si="3"/>
        <v>0</v>
      </c>
      <c r="AR76" s="60">
        <f t="shared" si="25"/>
        <v>62.1</v>
      </c>
      <c r="AS76" s="343">
        <f t="shared" si="26"/>
        <v>-7.1000000000000014</v>
      </c>
      <c r="AT76" s="355">
        <v>40.333333333333336</v>
      </c>
      <c r="AU76" s="356">
        <f t="shared" si="27"/>
        <v>17.333333333333332</v>
      </c>
      <c r="AV76" s="357">
        <f t="shared" si="28"/>
        <v>0</v>
      </c>
      <c r="AW76" s="358">
        <f t="shared" si="29"/>
        <v>0</v>
      </c>
      <c r="AX76" s="356">
        <f t="shared" si="30"/>
        <v>23.000000000000004</v>
      </c>
      <c r="AY76" s="359">
        <f t="shared" si="32"/>
        <v>0.42975206611570244</v>
      </c>
      <c r="AZ76" s="360">
        <f t="shared" si="31"/>
        <v>0.57024793388429762</v>
      </c>
      <c r="BA76" s="287">
        <v>3551457</v>
      </c>
      <c r="BB76" s="287">
        <f t="shared" si="33"/>
        <v>64571.945454545457</v>
      </c>
    </row>
    <row r="77" spans="1:54" ht="15.75" thickBot="1" x14ac:dyDescent="0.3">
      <c r="A77" s="17" t="s">
        <v>474</v>
      </c>
      <c r="B77" s="17" t="s">
        <v>475</v>
      </c>
      <c r="C77" s="18" t="s">
        <v>114</v>
      </c>
      <c r="D77" s="18"/>
      <c r="E77" s="18"/>
      <c r="F77" s="18"/>
      <c r="G77" s="19"/>
      <c r="H77" s="19"/>
      <c r="I77" s="20"/>
      <c r="J77" s="20"/>
      <c r="K77" s="20"/>
      <c r="L77" s="72">
        <v>54</v>
      </c>
      <c r="M77" s="22">
        <v>28</v>
      </c>
      <c r="N77" s="22"/>
      <c r="O77" s="22"/>
      <c r="P77" s="22"/>
      <c r="Q77" s="22">
        <v>2</v>
      </c>
      <c r="R77" s="23"/>
      <c r="S77" s="24">
        <f t="shared" si="0"/>
        <v>30</v>
      </c>
      <c r="T77" s="25">
        <f>IF($C77="",0,VLOOKUP($C77,[2]Hoja1!$C$11:$D$27,2,FALSE)*M77)+IF($D77="",0,VLOOKUP($D77,[2]Hoja1!$C$11:$D$27,2,FALSE)*N77)+IF($F77="",0,VLOOKUP($F77,[2]Hoja1!$C$11:$D$27,2,FALSE)*P77)+IF(R77="",0,R77*0.5)</f>
        <v>14</v>
      </c>
      <c r="U77" s="22" t="str">
        <f>IF(G77="x",4,"")</f>
        <v/>
      </c>
      <c r="V77" s="22" t="s">
        <v>291</v>
      </c>
      <c r="W77" s="26">
        <v>1.5</v>
      </c>
      <c r="X77" s="22"/>
      <c r="Y77" s="22"/>
      <c r="Z77" s="22"/>
      <c r="AA77" s="22"/>
      <c r="AB77" s="22"/>
      <c r="AC77" s="22">
        <v>2</v>
      </c>
      <c r="AD77" s="22">
        <v>1</v>
      </c>
      <c r="AE77" s="22"/>
      <c r="AF77" s="22">
        <v>1</v>
      </c>
      <c r="AG77" s="29" t="s">
        <v>297</v>
      </c>
      <c r="AH77" s="28">
        <f t="shared" si="22"/>
        <v>19.5</v>
      </c>
      <c r="AI77" s="22"/>
      <c r="AJ77" s="22"/>
      <c r="AK77" s="22"/>
      <c r="AL77" s="22"/>
      <c r="AM77" s="22"/>
      <c r="AN77" s="30">
        <f t="shared" si="2"/>
        <v>0</v>
      </c>
      <c r="AO77" s="39"/>
      <c r="AP77" s="39"/>
      <c r="AQ77" s="33">
        <f t="shared" si="3"/>
        <v>0</v>
      </c>
      <c r="AR77" s="60">
        <f t="shared" si="25"/>
        <v>49.5</v>
      </c>
      <c r="AS77" s="343">
        <f t="shared" si="26"/>
        <v>4.5</v>
      </c>
      <c r="AT77" s="355">
        <v>40.466666666666669</v>
      </c>
      <c r="AU77" s="356">
        <f t="shared" si="27"/>
        <v>20</v>
      </c>
      <c r="AV77" s="357">
        <f t="shared" si="28"/>
        <v>0</v>
      </c>
      <c r="AW77" s="358">
        <f t="shared" si="29"/>
        <v>0</v>
      </c>
      <c r="AX77" s="356">
        <f t="shared" si="30"/>
        <v>20.466666666666669</v>
      </c>
      <c r="AY77" s="359">
        <f t="shared" si="32"/>
        <v>0.49423393739703458</v>
      </c>
      <c r="AZ77" s="360">
        <f t="shared" si="31"/>
        <v>0.50576606260296542</v>
      </c>
      <c r="BA77" s="287">
        <v>1968000</v>
      </c>
      <c r="BB77" s="287">
        <f t="shared" si="33"/>
        <v>36444.444444444445</v>
      </c>
    </row>
    <row r="78" spans="1:54" ht="15.75" thickBot="1" x14ac:dyDescent="0.3">
      <c r="A78" s="17" t="s">
        <v>476</v>
      </c>
      <c r="B78" s="17" t="s">
        <v>477</v>
      </c>
      <c r="C78" s="18" t="s">
        <v>64</v>
      </c>
      <c r="D78" s="18"/>
      <c r="E78" s="18"/>
      <c r="F78" s="18"/>
      <c r="G78" s="19" t="s">
        <v>57</v>
      </c>
      <c r="H78" s="19"/>
      <c r="I78" s="20"/>
      <c r="J78" s="20"/>
      <c r="K78" s="20"/>
      <c r="L78" s="72">
        <v>54</v>
      </c>
      <c r="M78" s="22">
        <v>22</v>
      </c>
      <c r="N78" s="22"/>
      <c r="O78" s="22"/>
      <c r="P78" s="22"/>
      <c r="Q78" s="22">
        <v>1</v>
      </c>
      <c r="R78" s="23">
        <v>2</v>
      </c>
      <c r="S78" s="24">
        <f t="shared" si="0"/>
        <v>25</v>
      </c>
      <c r="T78" s="25">
        <f>IF($C78="",0,VLOOKUP($C78,[2]Hoja1!$C$11:$D$27,2,FALSE)*M78)+IF($D78="",0,VLOOKUP($D78,[2]Hoja1!$C$11:$D$27,2,FALSE)*N78)+IF($F78="",0,VLOOKUP($F78,[2]Hoja1!$C$11:$D$27,2,FALSE)*P78)+IF(R78="",0,R78*0.5)</f>
        <v>12</v>
      </c>
      <c r="U78" s="22">
        <v>5</v>
      </c>
      <c r="V78" s="22">
        <v>0</v>
      </c>
      <c r="W78" s="26">
        <v>1.5</v>
      </c>
      <c r="X78" s="22">
        <v>3</v>
      </c>
      <c r="Y78" s="22"/>
      <c r="Z78" s="22"/>
      <c r="AA78" s="22"/>
      <c r="AB78" s="22"/>
      <c r="AC78" s="22">
        <v>2</v>
      </c>
      <c r="AD78" s="22">
        <v>1</v>
      </c>
      <c r="AE78" s="22"/>
      <c r="AF78" s="22">
        <v>3</v>
      </c>
      <c r="AG78" s="29" t="s">
        <v>471</v>
      </c>
      <c r="AH78" s="28">
        <f t="shared" si="22"/>
        <v>27.5</v>
      </c>
      <c r="AI78" s="22"/>
      <c r="AJ78" s="22"/>
      <c r="AK78" s="22"/>
      <c r="AL78" s="22"/>
      <c r="AM78" s="22"/>
      <c r="AN78" s="30">
        <f t="shared" si="2"/>
        <v>0</v>
      </c>
      <c r="AO78" s="39"/>
      <c r="AP78" s="39"/>
      <c r="AQ78" s="33">
        <f t="shared" si="3"/>
        <v>0</v>
      </c>
      <c r="AR78" s="60">
        <f t="shared" si="25"/>
        <v>52.5</v>
      </c>
      <c r="AS78" s="343">
        <f t="shared" si="26"/>
        <v>1.5</v>
      </c>
      <c r="AT78" s="355">
        <v>40.366666666666667</v>
      </c>
      <c r="AU78" s="356">
        <f t="shared" si="27"/>
        <v>16.666666666666668</v>
      </c>
      <c r="AV78" s="357">
        <f t="shared" si="28"/>
        <v>0</v>
      </c>
      <c r="AW78" s="358">
        <f t="shared" si="29"/>
        <v>0</v>
      </c>
      <c r="AX78" s="356">
        <f t="shared" si="30"/>
        <v>23.7</v>
      </c>
      <c r="AY78" s="359">
        <f t="shared" si="32"/>
        <v>0.41288191577208921</v>
      </c>
      <c r="AZ78" s="360">
        <f t="shared" si="31"/>
        <v>0.58711808422791079</v>
      </c>
      <c r="BA78" s="287">
        <v>2056607</v>
      </c>
      <c r="BB78" s="287">
        <f t="shared" si="33"/>
        <v>38085.314814814818</v>
      </c>
    </row>
    <row r="79" spans="1:54" ht="15.75" thickBot="1" x14ac:dyDescent="0.3">
      <c r="A79" s="17" t="s">
        <v>478</v>
      </c>
      <c r="B79" s="17" t="s">
        <v>479</v>
      </c>
      <c r="C79" s="18" t="s">
        <v>64</v>
      </c>
      <c r="D79" s="18"/>
      <c r="E79" s="18"/>
      <c r="F79" s="18"/>
      <c r="G79" s="19" t="s">
        <v>57</v>
      </c>
      <c r="H79" s="19"/>
      <c r="I79" s="20"/>
      <c r="J79" s="20"/>
      <c r="K79" s="20"/>
      <c r="L79" s="72">
        <v>54</v>
      </c>
      <c r="M79" s="22">
        <v>20</v>
      </c>
      <c r="N79" s="22"/>
      <c r="O79" s="22"/>
      <c r="P79" s="22"/>
      <c r="Q79" s="22">
        <v>2</v>
      </c>
      <c r="R79" s="23">
        <f>IF(G79="x",1,"")</f>
        <v>1</v>
      </c>
      <c r="S79" s="24">
        <f t="shared" si="0"/>
        <v>23</v>
      </c>
      <c r="T79" s="25">
        <f>IF($C79="",0,VLOOKUP($C79,[2]Hoja1!$C$11:$D$27,2,FALSE)*M79)+IF($D79="",0,VLOOKUP($D79,[2]Hoja1!$C$11:$D$27,2,FALSE)*N79)+IF($F79="",0,VLOOKUP($F79,[2]Hoja1!$C$11:$D$27,2,FALSE)*P79)+IF(R79="",0,R79*0.5)</f>
        <v>10.5</v>
      </c>
      <c r="U79" s="22">
        <v>4</v>
      </c>
      <c r="V79" s="22">
        <v>4</v>
      </c>
      <c r="W79" s="26">
        <v>1.5</v>
      </c>
      <c r="X79" s="22"/>
      <c r="Y79" s="22"/>
      <c r="Z79" s="22"/>
      <c r="AA79" s="22"/>
      <c r="AB79" s="22"/>
      <c r="AC79" s="22">
        <v>2</v>
      </c>
      <c r="AD79" s="22">
        <v>1</v>
      </c>
      <c r="AE79" s="22"/>
      <c r="AF79" s="22">
        <v>6</v>
      </c>
      <c r="AG79" s="29" t="s">
        <v>480</v>
      </c>
      <c r="AH79" s="28">
        <f t="shared" si="22"/>
        <v>29</v>
      </c>
      <c r="AI79" s="22"/>
      <c r="AJ79" s="22"/>
      <c r="AK79" s="22"/>
      <c r="AL79" s="22"/>
      <c r="AM79" s="22"/>
      <c r="AN79" s="30">
        <f t="shared" si="2"/>
        <v>0</v>
      </c>
      <c r="AO79" s="39"/>
      <c r="AP79" s="39"/>
      <c r="AQ79" s="33">
        <f t="shared" si="3"/>
        <v>0</v>
      </c>
      <c r="AR79" s="60">
        <f t="shared" si="25"/>
        <v>52</v>
      </c>
      <c r="AS79" s="343">
        <f t="shared" si="26"/>
        <v>2</v>
      </c>
      <c r="AT79" s="355">
        <v>40.333333333333336</v>
      </c>
      <c r="AU79" s="356">
        <f t="shared" si="27"/>
        <v>15.333333333333334</v>
      </c>
      <c r="AV79" s="357">
        <f t="shared" si="28"/>
        <v>0</v>
      </c>
      <c r="AW79" s="358">
        <f t="shared" si="29"/>
        <v>0</v>
      </c>
      <c r="AX79" s="356">
        <f t="shared" si="30"/>
        <v>25</v>
      </c>
      <c r="AY79" s="359">
        <f t="shared" si="32"/>
        <v>0.38016528925619836</v>
      </c>
      <c r="AZ79" s="360">
        <f t="shared" si="31"/>
        <v>0.61983471074380159</v>
      </c>
      <c r="BA79" s="287">
        <v>1624280</v>
      </c>
      <c r="BB79" s="287">
        <f t="shared" si="33"/>
        <v>30079.259259259259</v>
      </c>
    </row>
    <row r="80" spans="1:54" ht="15.75" thickBot="1" x14ac:dyDescent="0.3">
      <c r="A80" s="17" t="s">
        <v>481</v>
      </c>
      <c r="B80" s="17" t="s">
        <v>482</v>
      </c>
      <c r="C80" s="18" t="s">
        <v>126</v>
      </c>
      <c r="D80" s="18"/>
      <c r="E80" s="18"/>
      <c r="F80" s="18"/>
      <c r="G80" s="19"/>
      <c r="H80" s="19"/>
      <c r="I80" s="20"/>
      <c r="J80" s="20"/>
      <c r="K80" s="20" t="s">
        <v>309</v>
      </c>
      <c r="L80" s="72">
        <v>30</v>
      </c>
      <c r="M80" s="22">
        <v>18</v>
      </c>
      <c r="N80" s="22"/>
      <c r="O80" s="22"/>
      <c r="P80" s="22"/>
      <c r="Q80" s="22"/>
      <c r="R80" s="23" t="str">
        <f>IF(G80="x",1,"")</f>
        <v/>
      </c>
      <c r="S80" s="24">
        <f t="shared" si="0"/>
        <v>18</v>
      </c>
      <c r="T80" s="25">
        <f>IF($C80="",0,VLOOKUP($C80,[2]Hoja1!$C$11:$D$27,2,FALSE)*M80)+IF($D80="",0,VLOOKUP($D80,[2]Hoja1!$C$11:$D$27,2,FALSE)*N80)+IF($F80="",0,VLOOKUP($F80,[2]Hoja1!$C$11:$D$27,2,FALSE)*P80)+IF(R80="",0,R80*0.5)</f>
        <v>5.3999999999999995</v>
      </c>
      <c r="U80" s="22" t="str">
        <f>IF(G80="x",4,"")</f>
        <v/>
      </c>
      <c r="V80" s="22" t="s">
        <v>291</v>
      </c>
      <c r="W80" s="26">
        <v>1.5</v>
      </c>
      <c r="X80" s="22"/>
      <c r="Y80" s="22">
        <v>10</v>
      </c>
      <c r="Z80" s="22"/>
      <c r="AA80" s="22"/>
      <c r="AB80" s="22"/>
      <c r="AC80" s="22"/>
      <c r="AD80" s="22"/>
      <c r="AE80" s="22"/>
      <c r="AF80" s="22">
        <v>6</v>
      </c>
      <c r="AG80" s="29" t="s">
        <v>313</v>
      </c>
      <c r="AH80" s="28">
        <f t="shared" si="22"/>
        <v>22.9</v>
      </c>
      <c r="AI80" s="22"/>
      <c r="AJ80" s="22"/>
      <c r="AK80" s="22"/>
      <c r="AL80" s="22"/>
      <c r="AM80" s="22"/>
      <c r="AN80" s="30">
        <f t="shared" si="2"/>
        <v>0</v>
      </c>
      <c r="AO80" s="39"/>
      <c r="AP80" s="39"/>
      <c r="AQ80" s="33">
        <f t="shared" si="3"/>
        <v>0</v>
      </c>
      <c r="AR80" s="60">
        <f t="shared" si="25"/>
        <v>40.9</v>
      </c>
      <c r="AS80" s="343">
        <f t="shared" si="26"/>
        <v>-10.899999999999999</v>
      </c>
      <c r="AT80" s="355">
        <v>21.233333333333334</v>
      </c>
      <c r="AU80" s="356">
        <f t="shared" si="27"/>
        <v>12</v>
      </c>
      <c r="AV80" s="357">
        <f t="shared" si="28"/>
        <v>0</v>
      </c>
      <c r="AW80" s="358">
        <f t="shared" si="29"/>
        <v>0</v>
      </c>
      <c r="AX80" s="356">
        <f t="shared" si="30"/>
        <v>9.2333333333333343</v>
      </c>
      <c r="AY80" s="359">
        <f t="shared" si="32"/>
        <v>0.56514913657770793</v>
      </c>
      <c r="AZ80" s="360">
        <f t="shared" si="31"/>
        <v>0.43485086342229201</v>
      </c>
      <c r="BA80" s="287">
        <v>1230000</v>
      </c>
      <c r="BB80" s="287">
        <f t="shared" si="33"/>
        <v>41000</v>
      </c>
    </row>
    <row r="81" spans="1:54" ht="15.75" thickBot="1" x14ac:dyDescent="0.3">
      <c r="A81" s="17" t="s">
        <v>483</v>
      </c>
      <c r="B81" s="17" t="s">
        <v>484</v>
      </c>
      <c r="C81" s="18" t="s">
        <v>98</v>
      </c>
      <c r="D81" s="18"/>
      <c r="E81" s="18"/>
      <c r="F81" s="18"/>
      <c r="G81" s="19" t="s">
        <v>57</v>
      </c>
      <c r="H81" s="19" t="s">
        <v>57</v>
      </c>
      <c r="I81" s="20"/>
      <c r="J81" s="20"/>
      <c r="K81" s="20"/>
      <c r="L81" s="72">
        <v>54</v>
      </c>
      <c r="M81" s="22">
        <v>18</v>
      </c>
      <c r="N81" s="22"/>
      <c r="O81" s="22"/>
      <c r="P81" s="22"/>
      <c r="Q81" s="22"/>
      <c r="R81" s="23">
        <f>IF(G81="x",1,"")</f>
        <v>1</v>
      </c>
      <c r="S81" s="24">
        <f t="shared" si="0"/>
        <v>19</v>
      </c>
      <c r="T81" s="25">
        <f>IF($C81="",0,VLOOKUP($C81,[2]Hoja1!$C$11:$D$27,2,FALSE)*M81)+IF($D81="",0,VLOOKUP($D81,[2]Hoja1!$C$11:$D$27,2,FALSE)*N81)+IF($F81="",0,VLOOKUP($F81,[2]Hoja1!$C$11:$D$27,2,FALSE)*P81)+IF(R81="",0,R81*0.5)</f>
        <v>9.5</v>
      </c>
      <c r="U81" s="22">
        <f>IF(G81="x",4,"")</f>
        <v>4</v>
      </c>
      <c r="V81" s="22">
        <v>4</v>
      </c>
      <c r="W81" s="26">
        <v>1.5</v>
      </c>
      <c r="X81" s="22">
        <v>2</v>
      </c>
      <c r="Y81" s="22"/>
      <c r="Z81" s="22"/>
      <c r="AA81" s="22"/>
      <c r="AB81" s="22">
        <v>3</v>
      </c>
      <c r="AC81" s="22">
        <v>1</v>
      </c>
      <c r="AD81" s="22">
        <v>0.5</v>
      </c>
      <c r="AE81" s="22"/>
      <c r="AF81" s="22">
        <v>3</v>
      </c>
      <c r="AG81" s="29" t="s">
        <v>485</v>
      </c>
      <c r="AH81" s="28">
        <f t="shared" si="22"/>
        <v>28.5</v>
      </c>
      <c r="AI81" s="22"/>
      <c r="AJ81" s="22">
        <v>10</v>
      </c>
      <c r="AK81" s="22"/>
      <c r="AL81" s="22"/>
      <c r="AM81" s="22"/>
      <c r="AN81" s="30">
        <f t="shared" si="2"/>
        <v>10</v>
      </c>
      <c r="AO81" s="39"/>
      <c r="AP81" s="39"/>
      <c r="AQ81" s="33">
        <f t="shared" si="3"/>
        <v>0</v>
      </c>
      <c r="AR81" s="60">
        <f t="shared" si="25"/>
        <v>57.5</v>
      </c>
      <c r="AS81" s="343">
        <f t="shared" si="26"/>
        <v>-3.5</v>
      </c>
      <c r="AT81" s="355">
        <v>40.333333333333336</v>
      </c>
      <c r="AU81" s="356">
        <f t="shared" si="27"/>
        <v>14.666666666666666</v>
      </c>
      <c r="AV81" s="357">
        <f t="shared" si="28"/>
        <v>6.666666666666667</v>
      </c>
      <c r="AW81" s="358">
        <f t="shared" si="29"/>
        <v>0</v>
      </c>
      <c r="AX81" s="356">
        <f t="shared" si="30"/>
        <v>19.000000000000004</v>
      </c>
      <c r="AY81" s="359">
        <f t="shared" si="32"/>
        <v>0.43564356435643559</v>
      </c>
      <c r="AZ81" s="360">
        <f t="shared" si="31"/>
        <v>0.56435643564356441</v>
      </c>
      <c r="BA81" s="287">
        <v>2415733</v>
      </c>
      <c r="BB81" s="287">
        <f t="shared" si="33"/>
        <v>44735.796296296299</v>
      </c>
    </row>
    <row r="82" spans="1:54" ht="15.75" thickBot="1" x14ac:dyDescent="0.3">
      <c r="A82" s="17" t="s">
        <v>486</v>
      </c>
      <c r="B82" s="17" t="s">
        <v>487</v>
      </c>
      <c r="C82" s="61" t="s">
        <v>295</v>
      </c>
      <c r="D82" s="62"/>
      <c r="E82" s="62"/>
      <c r="F82" s="62"/>
      <c r="G82" s="63" t="s">
        <v>57</v>
      </c>
      <c r="H82" s="63"/>
      <c r="I82" s="64"/>
      <c r="J82" s="64"/>
      <c r="K82" s="64" t="s">
        <v>349</v>
      </c>
      <c r="L82" s="65">
        <v>54</v>
      </c>
      <c r="M82" s="66">
        <v>4</v>
      </c>
      <c r="N82" s="67"/>
      <c r="O82" s="67"/>
      <c r="P82" s="67">
        <v>11</v>
      </c>
      <c r="Q82" s="67"/>
      <c r="R82" s="67">
        <v>1</v>
      </c>
      <c r="S82" s="24">
        <f t="shared" si="0"/>
        <v>16</v>
      </c>
      <c r="T82" s="25">
        <f>IF($C82="",0,VLOOKUP($C82,[2]Hoja1!$C$11:$D$27,2,FALSE)*M82)+IF($D82="",0,VLOOKUP($D82,[2]Hoja1!$C$11:$D$27,2,FALSE)*N82)+IF($F82="",0,VLOOKUP($F82,[2]Hoja1!$C$11:$D$27,2,FALSE)*P82)+IF(R82="",0,R82*0.5)</f>
        <v>2.5</v>
      </c>
      <c r="U82" s="22">
        <f>IF(G82="x",4,"")</f>
        <v>4</v>
      </c>
      <c r="V82" s="67">
        <v>4</v>
      </c>
      <c r="W82" s="68">
        <v>1.5</v>
      </c>
      <c r="X82" s="67"/>
      <c r="Y82" s="67"/>
      <c r="Z82" s="67">
        <v>1</v>
      </c>
      <c r="AA82" s="67"/>
      <c r="AB82" s="67">
        <v>2</v>
      </c>
      <c r="AC82" s="67">
        <v>1</v>
      </c>
      <c r="AD82" s="67">
        <v>0.5</v>
      </c>
      <c r="AE82" s="67"/>
      <c r="AF82" s="67">
        <v>1</v>
      </c>
      <c r="AG82" s="69" t="s">
        <v>297</v>
      </c>
      <c r="AH82" s="28">
        <f t="shared" si="22"/>
        <v>17.5</v>
      </c>
      <c r="AI82" s="66"/>
      <c r="AJ82" s="67"/>
      <c r="AK82" s="67"/>
      <c r="AL82" s="67">
        <v>2</v>
      </c>
      <c r="AM82" s="67" t="s">
        <v>49</v>
      </c>
      <c r="AN82" s="30">
        <f t="shared" si="2"/>
        <v>2</v>
      </c>
      <c r="AO82" s="70"/>
      <c r="AP82" s="70"/>
      <c r="AQ82" s="33">
        <f t="shared" si="3"/>
        <v>0</v>
      </c>
      <c r="AR82" s="60">
        <f t="shared" si="25"/>
        <v>35.5</v>
      </c>
      <c r="AS82" s="343">
        <f t="shared" si="26"/>
        <v>18.5</v>
      </c>
      <c r="AT82" s="355">
        <v>40.31666666666667</v>
      </c>
      <c r="AU82" s="356">
        <f t="shared" si="27"/>
        <v>12</v>
      </c>
      <c r="AV82" s="357">
        <f t="shared" si="28"/>
        <v>1.3333333333333333</v>
      </c>
      <c r="AW82" s="358">
        <f t="shared" si="29"/>
        <v>0</v>
      </c>
      <c r="AX82" s="356">
        <f t="shared" si="30"/>
        <v>26.983333333333338</v>
      </c>
      <c r="AY82" s="359">
        <f t="shared" si="32"/>
        <v>0.30782385634886705</v>
      </c>
      <c r="AZ82" s="360">
        <f t="shared" si="31"/>
        <v>0.69217614365113311</v>
      </c>
      <c r="BA82" s="287">
        <v>2559502</v>
      </c>
      <c r="BB82" s="287">
        <f t="shared" si="33"/>
        <v>47398.185185185182</v>
      </c>
    </row>
    <row r="83" spans="1:54" ht="15.75" thickBot="1" x14ac:dyDescent="0.3">
      <c r="A83" s="17" t="s">
        <v>488</v>
      </c>
      <c r="B83" s="71" t="s">
        <v>489</v>
      </c>
      <c r="C83" s="61" t="s">
        <v>109</v>
      </c>
      <c r="D83" s="62"/>
      <c r="E83" s="62"/>
      <c r="F83" s="62"/>
      <c r="G83" s="63" t="s">
        <v>57</v>
      </c>
      <c r="H83" s="63" t="s">
        <v>57</v>
      </c>
      <c r="I83" s="64" t="s">
        <v>57</v>
      </c>
      <c r="J83" s="74" t="s">
        <v>155</v>
      </c>
      <c r="K83" s="64" t="s">
        <v>349</v>
      </c>
      <c r="L83" s="65">
        <v>54</v>
      </c>
      <c r="M83" s="66">
        <v>12</v>
      </c>
      <c r="N83" s="67"/>
      <c r="O83" s="67"/>
      <c r="P83" s="67"/>
      <c r="Q83" s="67"/>
      <c r="R83" s="67">
        <v>2</v>
      </c>
      <c r="S83" s="24">
        <f t="shared" si="0"/>
        <v>14</v>
      </c>
      <c r="T83" s="25">
        <f>IF($C83="",0,VLOOKUP($C83,[2]Hoja1!$C$11:$D$27,2,FALSE)*M83)+IF($D83="",0,VLOOKUP($D83,[2]Hoja1!$C$11:$D$27,2,FALSE)*N83)+IF($F83="",0,VLOOKUP($F83,[2]Hoja1!$C$11:$D$27,2,FALSE)*P83)+IF(R83="",0,R83*0.5)</f>
        <v>7</v>
      </c>
      <c r="U83" s="22">
        <f>IF(G83="x",4,"")</f>
        <v>4</v>
      </c>
      <c r="V83" s="67">
        <v>4</v>
      </c>
      <c r="W83" s="68">
        <v>1.5</v>
      </c>
      <c r="X83" s="67"/>
      <c r="Y83" s="67"/>
      <c r="Z83" s="67"/>
      <c r="AA83" s="67"/>
      <c r="AB83" s="67">
        <v>3</v>
      </c>
      <c r="AC83" s="67">
        <v>5</v>
      </c>
      <c r="AD83" s="67">
        <v>1.5</v>
      </c>
      <c r="AE83" s="67"/>
      <c r="AF83" s="67">
        <v>1</v>
      </c>
      <c r="AG83" s="69" t="s">
        <v>297</v>
      </c>
      <c r="AH83" s="28">
        <f t="shared" si="22"/>
        <v>27</v>
      </c>
      <c r="AI83" s="330">
        <v>15</v>
      </c>
      <c r="AJ83" s="331">
        <v>12</v>
      </c>
      <c r="AK83" s="67"/>
      <c r="AL83" s="67"/>
      <c r="AM83" s="67"/>
      <c r="AN83" s="30">
        <f t="shared" si="2"/>
        <v>27</v>
      </c>
      <c r="AO83" s="70"/>
      <c r="AP83" s="70"/>
      <c r="AQ83" s="33">
        <f t="shared" si="3"/>
        <v>0</v>
      </c>
      <c r="AR83" s="60">
        <f t="shared" si="25"/>
        <v>68</v>
      </c>
      <c r="AS83" s="343">
        <f t="shared" si="26"/>
        <v>-14</v>
      </c>
      <c r="AT83" s="355">
        <v>40.18333333333333</v>
      </c>
      <c r="AU83" s="356">
        <f t="shared" si="27"/>
        <v>11.333333333333334</v>
      </c>
      <c r="AV83" s="357">
        <f t="shared" si="28"/>
        <v>18</v>
      </c>
      <c r="AW83" s="358">
        <f t="shared" si="29"/>
        <v>0</v>
      </c>
      <c r="AX83" s="356">
        <f t="shared" si="30"/>
        <v>10.849999999999994</v>
      </c>
      <c r="AY83" s="359">
        <f t="shared" si="32"/>
        <v>0.51089406461307296</v>
      </c>
      <c r="AZ83" s="360">
        <f t="shared" si="31"/>
        <v>0.48910593538692693</v>
      </c>
      <c r="BA83" s="287">
        <v>3251165</v>
      </c>
      <c r="BB83" s="287">
        <f t="shared" si="33"/>
        <v>60206.759259259263</v>
      </c>
    </row>
    <row r="84" spans="1:54" ht="15.75" thickBot="1" x14ac:dyDescent="0.3">
      <c r="A84" s="17" t="s">
        <v>490</v>
      </c>
      <c r="B84" s="17" t="s">
        <v>491</v>
      </c>
      <c r="C84" s="18" t="s">
        <v>114</v>
      </c>
      <c r="D84" s="18"/>
      <c r="E84" s="18"/>
      <c r="F84" s="18"/>
      <c r="G84" s="19" t="s">
        <v>57</v>
      </c>
      <c r="H84" s="19"/>
      <c r="I84" s="20"/>
      <c r="J84" s="20"/>
      <c r="K84" s="20"/>
      <c r="L84" s="72">
        <v>54</v>
      </c>
      <c r="M84" s="22">
        <v>22</v>
      </c>
      <c r="N84" s="22"/>
      <c r="O84" s="22"/>
      <c r="P84" s="22"/>
      <c r="Q84" s="22"/>
      <c r="R84" s="23">
        <v>2</v>
      </c>
      <c r="S84" s="24">
        <f t="shared" si="0"/>
        <v>24</v>
      </c>
      <c r="T84" s="25">
        <f>IF($C84="",0,VLOOKUP($C84,[2]Hoja1!$C$11:$D$27,2,FALSE)*M84)+IF($D84="",0,VLOOKUP($D84,[2]Hoja1!$C$11:$D$27,2,FALSE)*N84)+IF($F84="",0,VLOOKUP($F84,[2]Hoja1!$C$11:$D$27,2,FALSE)*P84)+IF(R84="",0,R84*0.5)</f>
        <v>12</v>
      </c>
      <c r="U84" s="22">
        <v>4</v>
      </c>
      <c r="V84" s="22">
        <v>4</v>
      </c>
      <c r="W84" s="26">
        <v>1.5</v>
      </c>
      <c r="X84" s="22"/>
      <c r="Y84" s="22"/>
      <c r="Z84" s="22"/>
      <c r="AA84" s="22"/>
      <c r="AB84" s="22"/>
      <c r="AC84" s="22">
        <v>2</v>
      </c>
      <c r="AD84" s="22">
        <v>1</v>
      </c>
      <c r="AE84" s="22">
        <v>1</v>
      </c>
      <c r="AF84" s="22">
        <v>3</v>
      </c>
      <c r="AG84" s="29" t="s">
        <v>492</v>
      </c>
      <c r="AH84" s="28">
        <f t="shared" si="22"/>
        <v>28.5</v>
      </c>
      <c r="AI84" s="22"/>
      <c r="AJ84" s="22"/>
      <c r="AK84" s="22"/>
      <c r="AL84" s="22"/>
      <c r="AM84" s="22"/>
      <c r="AN84" s="30">
        <f t="shared" si="2"/>
        <v>0</v>
      </c>
      <c r="AO84" s="39"/>
      <c r="AP84" s="39"/>
      <c r="AQ84" s="33">
        <f t="shared" si="3"/>
        <v>0</v>
      </c>
      <c r="AR84" s="60">
        <f t="shared" si="25"/>
        <v>52.5</v>
      </c>
      <c r="AS84" s="343">
        <f t="shared" si="26"/>
        <v>1.5</v>
      </c>
      <c r="AT84" s="355">
        <v>40.333333333333336</v>
      </c>
      <c r="AU84" s="356">
        <f t="shared" si="27"/>
        <v>16</v>
      </c>
      <c r="AV84" s="357">
        <f t="shared" si="28"/>
        <v>0</v>
      </c>
      <c r="AW84" s="358">
        <f t="shared" si="29"/>
        <v>0</v>
      </c>
      <c r="AX84" s="356">
        <f t="shared" si="30"/>
        <v>24.333333333333336</v>
      </c>
      <c r="AY84" s="359">
        <f t="shared" si="32"/>
        <v>0.39669421487603301</v>
      </c>
      <c r="AZ84" s="360">
        <f t="shared" si="31"/>
        <v>0.60330578512396693</v>
      </c>
      <c r="BA84" s="287">
        <v>2178021</v>
      </c>
      <c r="BB84" s="287">
        <f t="shared" si="33"/>
        <v>40333.722222222219</v>
      </c>
    </row>
    <row r="85" spans="1:54" ht="15.75" thickBot="1" x14ac:dyDescent="0.3">
      <c r="A85" s="17" t="s">
        <v>493</v>
      </c>
      <c r="B85" s="17" t="s">
        <v>494</v>
      </c>
      <c r="C85" s="61" t="s">
        <v>109</v>
      </c>
      <c r="D85" s="62"/>
      <c r="E85" s="62"/>
      <c r="F85" s="62"/>
      <c r="G85" s="63" t="s">
        <v>57</v>
      </c>
      <c r="H85" s="63"/>
      <c r="I85" s="64"/>
      <c r="J85" s="64"/>
      <c r="K85" s="64" t="s">
        <v>296</v>
      </c>
      <c r="L85" s="65">
        <v>54</v>
      </c>
      <c r="M85" s="66">
        <v>20</v>
      </c>
      <c r="N85" s="67"/>
      <c r="O85" s="67"/>
      <c r="P85" s="67"/>
      <c r="Q85" s="67"/>
      <c r="R85" s="67">
        <v>1</v>
      </c>
      <c r="S85" s="24">
        <f t="shared" si="0"/>
        <v>21</v>
      </c>
      <c r="T85" s="25">
        <f>IF($C85="",0,VLOOKUP($C85,[2]Hoja1!$C$11:$D$27,2,FALSE)*M85)+IF($D85="",0,VLOOKUP($D85,[2]Hoja1!$C$11:$D$27,2,FALSE)*N85)+IF($F85="",0,VLOOKUP($F85,[2]Hoja1!$C$11:$D$27,2,FALSE)*P85)+IF(R85="",0,R85*0.5)</f>
        <v>10.5</v>
      </c>
      <c r="U85" s="22">
        <f>IF(G85="x",4,"")</f>
        <v>4</v>
      </c>
      <c r="V85" s="67">
        <v>4</v>
      </c>
      <c r="W85" s="68">
        <v>1.5</v>
      </c>
      <c r="X85" s="67"/>
      <c r="Y85" s="67"/>
      <c r="Z85" s="67"/>
      <c r="AA85" s="67"/>
      <c r="AB85" s="67">
        <v>3</v>
      </c>
      <c r="AC85" s="67">
        <v>1</v>
      </c>
      <c r="AD85" s="67">
        <v>0.5</v>
      </c>
      <c r="AE85" s="67"/>
      <c r="AF85" s="67">
        <v>1</v>
      </c>
      <c r="AG85" s="69" t="s">
        <v>297</v>
      </c>
      <c r="AH85" s="28">
        <f t="shared" si="22"/>
        <v>25.5</v>
      </c>
      <c r="AI85" s="66"/>
      <c r="AJ85" s="67"/>
      <c r="AK85" s="67"/>
      <c r="AL85" s="67"/>
      <c r="AM85" s="67"/>
      <c r="AN85" s="30">
        <f t="shared" si="2"/>
        <v>0</v>
      </c>
      <c r="AO85" s="70"/>
      <c r="AP85" s="70"/>
      <c r="AQ85" s="33">
        <f t="shared" si="3"/>
        <v>0</v>
      </c>
      <c r="AR85" s="60">
        <f t="shared" si="25"/>
        <v>46.5</v>
      </c>
      <c r="AS85" s="343">
        <f t="shared" si="26"/>
        <v>7.5</v>
      </c>
      <c r="AT85" s="355">
        <v>40.283333333333331</v>
      </c>
      <c r="AU85" s="356">
        <f t="shared" si="27"/>
        <v>16</v>
      </c>
      <c r="AV85" s="357">
        <f t="shared" si="28"/>
        <v>0</v>
      </c>
      <c r="AW85" s="358">
        <f t="shared" si="29"/>
        <v>0</v>
      </c>
      <c r="AX85" s="356">
        <f t="shared" si="30"/>
        <v>24.283333333333331</v>
      </c>
      <c r="AY85" s="359">
        <f t="shared" si="32"/>
        <v>0.39718659495242037</v>
      </c>
      <c r="AZ85" s="360">
        <f t="shared" si="31"/>
        <v>0.60281340504757963</v>
      </c>
      <c r="BA85" s="287">
        <v>2325698</v>
      </c>
      <c r="BB85" s="287">
        <f t="shared" si="33"/>
        <v>43068.481481481482</v>
      </c>
    </row>
    <row r="86" spans="1:54" ht="15.75" thickBot="1" x14ac:dyDescent="0.3">
      <c r="A86" s="17" t="s">
        <v>495</v>
      </c>
      <c r="B86" s="17" t="s">
        <v>496</v>
      </c>
      <c r="C86" s="61" t="s">
        <v>54</v>
      </c>
      <c r="D86" s="62"/>
      <c r="E86" s="62"/>
      <c r="F86" s="62"/>
      <c r="G86" s="63" t="s">
        <v>57</v>
      </c>
      <c r="H86" s="63"/>
      <c r="I86" s="64"/>
      <c r="J86" s="64"/>
      <c r="K86" s="64" t="s">
        <v>296</v>
      </c>
      <c r="L86" s="65">
        <v>54</v>
      </c>
      <c r="M86" s="66">
        <v>18</v>
      </c>
      <c r="N86" s="67"/>
      <c r="O86" s="67"/>
      <c r="P86" s="67">
        <v>2</v>
      </c>
      <c r="Q86" s="67"/>
      <c r="R86" s="67">
        <v>1</v>
      </c>
      <c r="S86" s="24">
        <f t="shared" si="0"/>
        <v>21</v>
      </c>
      <c r="T86" s="25">
        <f>IF($C86="",0,VLOOKUP($C86,[2]Hoja1!$C$11:$D$27,2,FALSE)*M86)+IF($D86="",0,VLOOKUP($D86,[2]Hoja1!$C$11:$D$27,2,FALSE)*N86)+IF($F86="",0,VLOOKUP($F86,[2]Hoja1!$C$11:$D$27,2,FALSE)*P86)+IF(R86="",0,R86*0.5)</f>
        <v>9.5</v>
      </c>
      <c r="U86" s="22">
        <f>IF(G86="x",4,"")</f>
        <v>4</v>
      </c>
      <c r="V86" s="67">
        <v>4</v>
      </c>
      <c r="W86" s="68">
        <v>1.5</v>
      </c>
      <c r="X86" s="67"/>
      <c r="Y86" s="67"/>
      <c r="Z86" s="67"/>
      <c r="AA86" s="67"/>
      <c r="AB86" s="67">
        <v>2</v>
      </c>
      <c r="AC86" s="67">
        <v>1</v>
      </c>
      <c r="AD86" s="67">
        <v>0.5</v>
      </c>
      <c r="AE86" s="67"/>
      <c r="AF86" s="67">
        <v>1</v>
      </c>
      <c r="AG86" s="69" t="s">
        <v>297</v>
      </c>
      <c r="AH86" s="28">
        <f t="shared" si="22"/>
        <v>23.5</v>
      </c>
      <c r="AI86" s="66"/>
      <c r="AJ86" s="67"/>
      <c r="AK86" s="67"/>
      <c r="AL86" s="67"/>
      <c r="AM86" s="67"/>
      <c r="AN86" s="30">
        <f t="shared" si="2"/>
        <v>0</v>
      </c>
      <c r="AO86" s="70"/>
      <c r="AP86" s="70"/>
      <c r="AQ86" s="33">
        <f t="shared" si="3"/>
        <v>0</v>
      </c>
      <c r="AR86" s="60">
        <f t="shared" si="25"/>
        <v>44.5</v>
      </c>
      <c r="AS86" s="343">
        <f t="shared" si="26"/>
        <v>9.5</v>
      </c>
      <c r="AT86" s="355">
        <v>40.299999999999997</v>
      </c>
      <c r="AU86" s="356">
        <f t="shared" si="27"/>
        <v>15.333333333333334</v>
      </c>
      <c r="AV86" s="357">
        <f t="shared" si="28"/>
        <v>0</v>
      </c>
      <c r="AW86" s="358">
        <f t="shared" si="29"/>
        <v>0</v>
      </c>
      <c r="AX86" s="356">
        <f t="shared" si="30"/>
        <v>24.966666666666661</v>
      </c>
      <c r="AY86" s="359">
        <f t="shared" si="32"/>
        <v>0.38047973531844503</v>
      </c>
      <c r="AZ86" s="360">
        <f t="shared" si="31"/>
        <v>0.61952026468155497</v>
      </c>
      <c r="BA86" s="287">
        <v>1619300</v>
      </c>
      <c r="BB86" s="287">
        <f t="shared" si="33"/>
        <v>29987.037037037036</v>
      </c>
    </row>
    <row r="87" spans="1:54" ht="15.75" thickBot="1" x14ac:dyDescent="0.3">
      <c r="A87" s="17" t="s">
        <v>497</v>
      </c>
      <c r="B87" s="71" t="s">
        <v>498</v>
      </c>
      <c r="C87" s="18" t="s">
        <v>64</v>
      </c>
      <c r="D87" s="18"/>
      <c r="E87" s="18"/>
      <c r="F87" s="18"/>
      <c r="G87" s="19" t="s">
        <v>57</v>
      </c>
      <c r="H87" s="19"/>
      <c r="I87" s="20" t="s">
        <v>57</v>
      </c>
      <c r="J87" s="45" t="s">
        <v>155</v>
      </c>
      <c r="K87" s="20" t="s">
        <v>303</v>
      </c>
      <c r="L87" s="72">
        <v>54</v>
      </c>
      <c r="M87" s="22">
        <v>8</v>
      </c>
      <c r="N87" s="22"/>
      <c r="O87" s="22"/>
      <c r="P87" s="22"/>
      <c r="Q87" s="22"/>
      <c r="R87" s="23">
        <v>2</v>
      </c>
      <c r="S87" s="24">
        <f t="shared" si="0"/>
        <v>10</v>
      </c>
      <c r="T87" s="25">
        <f>IF($C87="",0,VLOOKUP($C87,[2]Hoja1!$C$11:$D$27,2,FALSE)*M87)+IF($D87="",0,VLOOKUP($D87,[2]Hoja1!$C$11:$D$27,2,FALSE)*N87)+IF($F87="",0,VLOOKUP($F87,[2]Hoja1!$C$11:$D$27,2,FALSE)*P87)+IF(R87="",0,R87*0.5)</f>
        <v>5</v>
      </c>
      <c r="U87" s="22">
        <v>5</v>
      </c>
      <c r="V87" s="22">
        <v>0</v>
      </c>
      <c r="W87" s="26">
        <v>1.5</v>
      </c>
      <c r="X87" s="22">
        <v>2</v>
      </c>
      <c r="Y87" s="22"/>
      <c r="Z87" s="22"/>
      <c r="AA87" s="22"/>
      <c r="AB87" s="22">
        <v>2</v>
      </c>
      <c r="AC87" s="22">
        <v>2</v>
      </c>
      <c r="AD87" s="22">
        <v>1</v>
      </c>
      <c r="AE87" s="22">
        <v>1</v>
      </c>
      <c r="AF87" s="22">
        <v>20</v>
      </c>
      <c r="AG87" s="29" t="s">
        <v>499</v>
      </c>
      <c r="AH87" s="28">
        <f t="shared" si="22"/>
        <v>39.5</v>
      </c>
      <c r="AI87" s="170">
        <v>20</v>
      </c>
      <c r="AJ87" s="170"/>
      <c r="AK87" s="22"/>
      <c r="AL87" s="22"/>
      <c r="AM87" s="22"/>
      <c r="AN87" s="30">
        <f t="shared" si="2"/>
        <v>20</v>
      </c>
      <c r="AO87" s="39">
        <v>2</v>
      </c>
      <c r="AP87" s="39" t="s">
        <v>500</v>
      </c>
      <c r="AQ87" s="33">
        <f t="shared" si="3"/>
        <v>2</v>
      </c>
      <c r="AR87" s="60">
        <f t="shared" si="25"/>
        <v>71.5</v>
      </c>
      <c r="AS87" s="343">
        <f t="shared" si="26"/>
        <v>-17.5</v>
      </c>
      <c r="AT87" s="355">
        <v>40.133333333333333</v>
      </c>
      <c r="AU87" s="356">
        <f t="shared" si="27"/>
        <v>8</v>
      </c>
      <c r="AV87" s="357">
        <f t="shared" si="28"/>
        <v>13.333333333333334</v>
      </c>
      <c r="AW87" s="358">
        <f t="shared" si="29"/>
        <v>1.3333333333333339</v>
      </c>
      <c r="AX87" s="356">
        <f t="shared" si="30"/>
        <v>17.466666666666661</v>
      </c>
      <c r="AY87" s="359">
        <f t="shared" si="32"/>
        <v>0.31413612565445032</v>
      </c>
      <c r="AZ87" s="360">
        <f t="shared" si="31"/>
        <v>0.68586387434554963</v>
      </c>
      <c r="BA87" s="287">
        <v>2705266</v>
      </c>
      <c r="BB87" s="287">
        <f t="shared" si="33"/>
        <v>50097.518518518518</v>
      </c>
    </row>
    <row r="88" spans="1:54" ht="15.75" thickBot="1" x14ac:dyDescent="0.3">
      <c r="A88" s="17" t="s">
        <v>501</v>
      </c>
      <c r="B88" s="17" t="s">
        <v>502</v>
      </c>
      <c r="C88" s="18" t="s">
        <v>55</v>
      </c>
      <c r="D88" s="18"/>
      <c r="E88" s="18"/>
      <c r="F88" s="18" t="s">
        <v>55</v>
      </c>
      <c r="G88" s="19"/>
      <c r="H88" s="19"/>
      <c r="I88" s="20"/>
      <c r="J88" s="20"/>
      <c r="K88" s="20"/>
      <c r="L88" s="72">
        <v>54</v>
      </c>
      <c r="M88" s="22">
        <v>21</v>
      </c>
      <c r="N88" s="22"/>
      <c r="O88" s="22"/>
      <c r="P88" s="22">
        <v>4</v>
      </c>
      <c r="Q88" s="22"/>
      <c r="R88" s="23" t="str">
        <f>IF(G88="x",1,"")</f>
        <v/>
      </c>
      <c r="S88" s="24">
        <f t="shared" si="0"/>
        <v>25</v>
      </c>
      <c r="T88" s="25">
        <f>IF($C88="",0,VLOOKUP($C88,[2]Hoja1!$C$11:$D$27,2,FALSE)*M88)+IF($D88="",0,VLOOKUP($D88,[2]Hoja1!$C$11:$D$27,2,FALSE)*N88)+IF($F88="",0,VLOOKUP($F88,[2]Hoja1!$C$11:$D$27,2,FALSE)*P88)+IF(R88="",0,R88*0.5)</f>
        <v>15</v>
      </c>
      <c r="U88" s="22" t="str">
        <f>IF(G88="x",4,"")</f>
        <v/>
      </c>
      <c r="V88" s="22" t="s">
        <v>291</v>
      </c>
      <c r="W88" s="26">
        <v>1.5</v>
      </c>
      <c r="X88" s="22"/>
      <c r="Y88" s="22"/>
      <c r="Z88" s="22"/>
      <c r="AA88" s="22"/>
      <c r="AB88" s="22"/>
      <c r="AC88" s="22">
        <v>1</v>
      </c>
      <c r="AD88" s="22">
        <v>0.5</v>
      </c>
      <c r="AE88" s="22"/>
      <c r="AF88" s="22">
        <v>1</v>
      </c>
      <c r="AG88" s="29" t="s">
        <v>297</v>
      </c>
      <c r="AH88" s="28">
        <f t="shared" si="22"/>
        <v>19</v>
      </c>
      <c r="AI88" s="22"/>
      <c r="AJ88" s="22"/>
      <c r="AK88" s="22"/>
      <c r="AL88" s="22"/>
      <c r="AM88" s="22"/>
      <c r="AN88" s="30">
        <f t="shared" si="2"/>
        <v>0</v>
      </c>
      <c r="AO88" s="39"/>
      <c r="AP88" s="39"/>
      <c r="AQ88" s="33">
        <f t="shared" si="3"/>
        <v>0</v>
      </c>
      <c r="AR88" s="60">
        <f t="shared" si="25"/>
        <v>44</v>
      </c>
      <c r="AS88" s="343">
        <f t="shared" si="26"/>
        <v>10</v>
      </c>
      <c r="AT88" s="355">
        <v>40.383333333333333</v>
      </c>
      <c r="AU88" s="356">
        <f t="shared" si="27"/>
        <v>16.666666666666668</v>
      </c>
      <c r="AV88" s="357">
        <f t="shared" si="28"/>
        <v>0</v>
      </c>
      <c r="AW88" s="358">
        <f t="shared" si="29"/>
        <v>0</v>
      </c>
      <c r="AX88" s="356">
        <f t="shared" si="30"/>
        <v>23.716666666666665</v>
      </c>
      <c r="AY88" s="359">
        <f t="shared" si="32"/>
        <v>0.41271151465125883</v>
      </c>
      <c r="AZ88" s="360">
        <f t="shared" si="31"/>
        <v>0.58728848534874123</v>
      </c>
      <c r="BA88" s="287">
        <v>1447300</v>
      </c>
      <c r="BB88" s="287">
        <f t="shared" si="33"/>
        <v>26801.85185185185</v>
      </c>
    </row>
    <row r="89" spans="1:54" ht="15.75" thickBot="1" x14ac:dyDescent="0.3">
      <c r="A89" s="17" t="s">
        <v>503</v>
      </c>
      <c r="B89" s="17" t="s">
        <v>504</v>
      </c>
      <c r="C89" s="18" t="s">
        <v>64</v>
      </c>
      <c r="D89" s="18"/>
      <c r="E89" s="18"/>
      <c r="F89" s="18"/>
      <c r="G89" s="19" t="s">
        <v>57</v>
      </c>
      <c r="H89" s="19"/>
      <c r="I89" s="20"/>
      <c r="J89" s="20"/>
      <c r="K89" s="20"/>
      <c r="L89" s="72">
        <v>54</v>
      </c>
      <c r="M89" s="22">
        <v>22</v>
      </c>
      <c r="N89" s="22"/>
      <c r="O89" s="22"/>
      <c r="P89" s="22"/>
      <c r="Q89" s="22"/>
      <c r="R89" s="23">
        <v>2</v>
      </c>
      <c r="S89" s="24">
        <f t="shared" si="0"/>
        <v>24</v>
      </c>
      <c r="T89" s="25">
        <f>IF($C89="",0,VLOOKUP($C89,[2]Hoja1!$C$11:$D$27,2,FALSE)*M89)+IF($D89="",0,VLOOKUP($D89,[2]Hoja1!$C$11:$D$27,2,FALSE)*N89)+IF($F89="",0,VLOOKUP($F89,[2]Hoja1!$C$11:$D$27,2,FALSE)*P89)+IF(R89="",0,R89*0.5)</f>
        <v>12</v>
      </c>
      <c r="U89" s="22">
        <v>5</v>
      </c>
      <c r="V89" s="22">
        <v>0</v>
      </c>
      <c r="W89" s="26">
        <v>1.5</v>
      </c>
      <c r="X89" s="22"/>
      <c r="Y89" s="22"/>
      <c r="Z89" s="22"/>
      <c r="AA89" s="22"/>
      <c r="AB89" s="22"/>
      <c r="AC89" s="22">
        <v>2</v>
      </c>
      <c r="AD89" s="22">
        <v>1</v>
      </c>
      <c r="AE89" s="22"/>
      <c r="AF89" s="22">
        <v>5</v>
      </c>
      <c r="AG89" s="29" t="s">
        <v>505</v>
      </c>
      <c r="AH89" s="28">
        <f t="shared" si="22"/>
        <v>26.5</v>
      </c>
      <c r="AI89" s="22"/>
      <c r="AJ89" s="22"/>
      <c r="AK89" s="22"/>
      <c r="AL89" s="22"/>
      <c r="AM89" s="22"/>
      <c r="AN89" s="30">
        <f t="shared" si="2"/>
        <v>0</v>
      </c>
      <c r="AO89" s="39"/>
      <c r="AP89" s="39"/>
      <c r="AQ89" s="33">
        <f t="shared" si="3"/>
        <v>0</v>
      </c>
      <c r="AR89" s="60">
        <f t="shared" si="25"/>
        <v>50.5</v>
      </c>
      <c r="AS89" s="343">
        <f t="shared" si="26"/>
        <v>3.5</v>
      </c>
      <c r="AT89" s="355">
        <v>40.366666666666667</v>
      </c>
      <c r="AU89" s="356">
        <f t="shared" si="27"/>
        <v>16</v>
      </c>
      <c r="AV89" s="357">
        <f t="shared" si="28"/>
        <v>0</v>
      </c>
      <c r="AW89" s="358">
        <f t="shared" si="29"/>
        <v>0</v>
      </c>
      <c r="AX89" s="356">
        <f t="shared" si="30"/>
        <v>24.366666666666667</v>
      </c>
      <c r="AY89" s="359">
        <f t="shared" si="32"/>
        <v>0.39636663914120562</v>
      </c>
      <c r="AZ89" s="360">
        <f t="shared" si="31"/>
        <v>0.60363336085879438</v>
      </c>
      <c r="BA89" s="287">
        <v>1927115</v>
      </c>
      <c r="BB89" s="287">
        <f t="shared" si="33"/>
        <v>35687.314814814818</v>
      </c>
    </row>
    <row r="90" spans="1:54" ht="15.75" thickBot="1" x14ac:dyDescent="0.3">
      <c r="A90" s="17" t="s">
        <v>506</v>
      </c>
      <c r="B90" s="17" t="s">
        <v>507</v>
      </c>
      <c r="C90" s="61" t="s">
        <v>109</v>
      </c>
      <c r="D90" s="62"/>
      <c r="E90" s="62"/>
      <c r="F90" s="62"/>
      <c r="G90" s="63" t="s">
        <v>57</v>
      </c>
      <c r="H90" s="63"/>
      <c r="I90" s="64"/>
      <c r="J90" s="64"/>
      <c r="K90" s="64" t="s">
        <v>296</v>
      </c>
      <c r="L90" s="65">
        <v>54</v>
      </c>
      <c r="M90" s="66">
        <v>20</v>
      </c>
      <c r="N90" s="67"/>
      <c r="O90" s="67"/>
      <c r="P90" s="67"/>
      <c r="Q90" s="67"/>
      <c r="R90" s="67">
        <v>1</v>
      </c>
      <c r="S90" s="24">
        <f t="shared" si="0"/>
        <v>21</v>
      </c>
      <c r="T90" s="25">
        <f>IF($C90="",0,VLOOKUP($C90,[2]Hoja1!$C$11:$D$27,2,FALSE)*M90)+IF($D90="",0,VLOOKUP($D90,[2]Hoja1!$C$11:$D$27,2,FALSE)*N90)+IF($F90="",0,VLOOKUP($F90,[2]Hoja1!$C$11:$D$27,2,FALSE)*P90)+IF(R90="",0,R90*0.5)</f>
        <v>10.5</v>
      </c>
      <c r="U90" s="22">
        <f>IF(G90="x",4,"")</f>
        <v>4</v>
      </c>
      <c r="V90" s="67">
        <v>4</v>
      </c>
      <c r="W90" s="68">
        <v>1.5</v>
      </c>
      <c r="X90" s="67"/>
      <c r="Y90" s="67"/>
      <c r="Z90" s="67"/>
      <c r="AA90" s="67"/>
      <c r="AB90" s="67">
        <v>3</v>
      </c>
      <c r="AC90" s="67">
        <v>1</v>
      </c>
      <c r="AD90" s="67">
        <v>0.5</v>
      </c>
      <c r="AE90" s="67"/>
      <c r="AF90" s="67">
        <v>1</v>
      </c>
      <c r="AG90" s="69" t="s">
        <v>297</v>
      </c>
      <c r="AH90" s="28">
        <f t="shared" si="22"/>
        <v>25.5</v>
      </c>
      <c r="AI90" s="66"/>
      <c r="AJ90" s="67"/>
      <c r="AK90" s="67"/>
      <c r="AL90" s="67"/>
      <c r="AM90" s="67"/>
      <c r="AN90" s="30">
        <f t="shared" si="2"/>
        <v>0</v>
      </c>
      <c r="AO90" s="70"/>
      <c r="AP90" s="70"/>
      <c r="AQ90" s="33">
        <f t="shared" si="3"/>
        <v>0</v>
      </c>
      <c r="AR90" s="60">
        <f t="shared" si="25"/>
        <v>46.5</v>
      </c>
      <c r="AS90" s="343">
        <f t="shared" si="26"/>
        <v>7.5</v>
      </c>
      <c r="AT90" s="355">
        <v>40.299999999999997</v>
      </c>
      <c r="AU90" s="356">
        <f t="shared" si="27"/>
        <v>16</v>
      </c>
      <c r="AV90" s="357">
        <f t="shared" si="28"/>
        <v>0</v>
      </c>
      <c r="AW90" s="358">
        <f t="shared" si="29"/>
        <v>0</v>
      </c>
      <c r="AX90" s="356">
        <f t="shared" si="30"/>
        <v>24.299999999999997</v>
      </c>
      <c r="AY90" s="359">
        <f t="shared" si="32"/>
        <v>0.3970223325062035</v>
      </c>
      <c r="AZ90" s="360">
        <f t="shared" si="31"/>
        <v>0.60297766749379644</v>
      </c>
      <c r="BA90" s="287">
        <v>2849509</v>
      </c>
      <c r="BB90" s="287">
        <f t="shared" si="33"/>
        <v>52768.685185185182</v>
      </c>
    </row>
    <row r="91" spans="1:54" ht="15.75" thickBot="1" x14ac:dyDescent="0.3">
      <c r="A91" s="17" t="s">
        <v>508</v>
      </c>
      <c r="B91" s="17" t="s">
        <v>509</v>
      </c>
      <c r="C91" s="18" t="s">
        <v>61</v>
      </c>
      <c r="D91" s="18"/>
      <c r="E91" s="18"/>
      <c r="F91" s="18"/>
      <c r="G91" s="19" t="s">
        <v>57</v>
      </c>
      <c r="H91" s="19"/>
      <c r="I91" s="20" t="s">
        <v>57</v>
      </c>
      <c r="J91" s="45" t="s">
        <v>205</v>
      </c>
      <c r="K91" s="20" t="s">
        <v>349</v>
      </c>
      <c r="L91" s="72">
        <v>54</v>
      </c>
      <c r="M91" s="22">
        <v>6</v>
      </c>
      <c r="N91" s="22"/>
      <c r="O91" s="22"/>
      <c r="P91" s="22">
        <v>4</v>
      </c>
      <c r="Q91" s="22"/>
      <c r="R91" s="23">
        <v>2</v>
      </c>
      <c r="S91" s="24">
        <f t="shared" si="0"/>
        <v>12</v>
      </c>
      <c r="T91" s="25">
        <f>IF($C91="",0,VLOOKUP($C91,[2]Hoja1!$C$11:$D$27,2,FALSE)*M91)+IF($D91="",0,VLOOKUP($D91,[2]Hoja1!$C$11:$D$27,2,FALSE)*N91)+IF($F91="",0,VLOOKUP($F91,[2]Hoja1!$C$11:$D$27,2,FALSE)*P91)+IF(R91="",0,R91*0.5)</f>
        <v>4</v>
      </c>
      <c r="U91" s="22">
        <f>IF(G91="x",4,"")</f>
        <v>4</v>
      </c>
      <c r="V91" s="22">
        <v>4</v>
      </c>
      <c r="W91" s="26">
        <v>1.5</v>
      </c>
      <c r="X91" s="22"/>
      <c r="Y91" s="22"/>
      <c r="Z91" s="22"/>
      <c r="AA91" s="22"/>
      <c r="AB91" s="22">
        <v>3</v>
      </c>
      <c r="AC91" s="22">
        <v>6</v>
      </c>
      <c r="AD91" s="22"/>
      <c r="AE91" s="22"/>
      <c r="AF91" s="22">
        <v>1</v>
      </c>
      <c r="AG91" s="29" t="s">
        <v>297</v>
      </c>
      <c r="AH91" s="28">
        <f t="shared" si="22"/>
        <v>23.5</v>
      </c>
      <c r="AI91" s="22">
        <v>20</v>
      </c>
      <c r="AJ91" s="22"/>
      <c r="AK91" s="22"/>
      <c r="AL91" s="22"/>
      <c r="AM91" s="22"/>
      <c r="AN91" s="30">
        <f t="shared" si="2"/>
        <v>20</v>
      </c>
      <c r="AO91" s="39"/>
      <c r="AP91" s="39"/>
      <c r="AQ91" s="33">
        <f t="shared" si="3"/>
        <v>0</v>
      </c>
      <c r="AR91" s="60">
        <f t="shared" si="25"/>
        <v>55.5</v>
      </c>
      <c r="AS91" s="343">
        <f t="shared" si="26"/>
        <v>-1.5</v>
      </c>
      <c r="AT91" s="355">
        <v>40.166666666666664</v>
      </c>
      <c r="AU91" s="356">
        <f t="shared" si="27"/>
        <v>10</v>
      </c>
      <c r="AV91" s="357">
        <f t="shared" si="28"/>
        <v>13.333333333333334</v>
      </c>
      <c r="AW91" s="358">
        <f t="shared" si="29"/>
        <v>0</v>
      </c>
      <c r="AX91" s="356">
        <f t="shared" si="30"/>
        <v>16.833333333333329</v>
      </c>
      <c r="AY91" s="359">
        <f t="shared" si="32"/>
        <v>0.37267080745341624</v>
      </c>
      <c r="AZ91" s="360">
        <f t="shared" si="31"/>
        <v>0.62732919254658381</v>
      </c>
      <c r="BA91" s="287">
        <v>4733316</v>
      </c>
      <c r="BB91" s="287">
        <f t="shared" si="33"/>
        <v>87654</v>
      </c>
    </row>
    <row r="92" spans="1:54" ht="15.75" thickBot="1" x14ac:dyDescent="0.3">
      <c r="A92" s="17" t="s">
        <v>510</v>
      </c>
      <c r="B92" s="17" t="s">
        <v>511</v>
      </c>
      <c r="C92" s="18" t="s">
        <v>180</v>
      </c>
      <c r="D92" s="18"/>
      <c r="E92" s="18"/>
      <c r="F92" s="18"/>
      <c r="G92" s="19"/>
      <c r="H92" s="19"/>
      <c r="I92" s="20"/>
      <c r="J92" s="20"/>
      <c r="K92" s="20" t="s">
        <v>309</v>
      </c>
      <c r="L92" s="72">
        <v>54</v>
      </c>
      <c r="M92" s="22">
        <v>20</v>
      </c>
      <c r="N92" s="22"/>
      <c r="O92" s="22"/>
      <c r="P92" s="22"/>
      <c r="Q92" s="22"/>
      <c r="R92" s="23" t="str">
        <f>IF(G92="x",1,"")</f>
        <v/>
      </c>
      <c r="S92" s="24">
        <f t="shared" si="0"/>
        <v>20</v>
      </c>
      <c r="T92" s="25">
        <f>IF($C92="",0,VLOOKUP($C92,[2]Hoja1!$C$11:$D$27,2,FALSE)*M92)+IF($D92="",0,VLOOKUP($D92,[2]Hoja1!$C$11:$D$27,2,FALSE)*N92)+IF($F92="",0,VLOOKUP($F92,[2]Hoja1!$C$11:$D$27,2,FALSE)*P92)+IF(R92="",0,R92*0.5)</f>
        <v>6</v>
      </c>
      <c r="U92" s="22" t="str">
        <f>IF(G92="x",4,"")</f>
        <v/>
      </c>
      <c r="V92" s="22" t="s">
        <v>291</v>
      </c>
      <c r="W92" s="26">
        <v>1.5</v>
      </c>
      <c r="X92" s="22"/>
      <c r="Y92" s="22">
        <v>13</v>
      </c>
      <c r="Z92" s="22"/>
      <c r="AA92" s="22"/>
      <c r="AB92" s="22"/>
      <c r="AC92" s="22"/>
      <c r="AD92" s="22"/>
      <c r="AE92" s="22"/>
      <c r="AF92" s="22">
        <v>13</v>
      </c>
      <c r="AG92" s="29" t="s">
        <v>292</v>
      </c>
      <c r="AH92" s="28">
        <f t="shared" si="22"/>
        <v>33.5</v>
      </c>
      <c r="AI92" s="22"/>
      <c r="AJ92" s="22"/>
      <c r="AK92" s="22"/>
      <c r="AL92" s="22"/>
      <c r="AM92" s="22"/>
      <c r="AN92" s="30">
        <f t="shared" si="2"/>
        <v>0</v>
      </c>
      <c r="AO92" s="39"/>
      <c r="AP92" s="39"/>
      <c r="AQ92" s="33">
        <f t="shared" si="3"/>
        <v>0</v>
      </c>
      <c r="AR92" s="60">
        <f t="shared" si="25"/>
        <v>53.5</v>
      </c>
      <c r="AS92" s="343">
        <f t="shared" si="26"/>
        <v>0.5</v>
      </c>
      <c r="AT92" s="355">
        <v>40.333333333333336</v>
      </c>
      <c r="AU92" s="356">
        <f t="shared" si="27"/>
        <v>13.333333333333334</v>
      </c>
      <c r="AV92" s="357">
        <f t="shared" si="28"/>
        <v>0</v>
      </c>
      <c r="AW92" s="358">
        <f t="shared" si="29"/>
        <v>0</v>
      </c>
      <c r="AX92" s="356">
        <f t="shared" si="30"/>
        <v>27</v>
      </c>
      <c r="AY92" s="359">
        <f t="shared" si="32"/>
        <v>0.33057851239669422</v>
      </c>
      <c r="AZ92" s="360">
        <f t="shared" si="31"/>
        <v>0.66942148760330578</v>
      </c>
      <c r="BA92" s="287">
        <v>2882124</v>
      </c>
      <c r="BB92" s="287">
        <f t="shared" si="33"/>
        <v>53372.666666666664</v>
      </c>
    </row>
    <row r="93" spans="1:54" ht="15.75" thickBot="1" x14ac:dyDescent="0.3">
      <c r="A93" s="17" t="s">
        <v>512</v>
      </c>
      <c r="B93" s="17" t="s">
        <v>513</v>
      </c>
      <c r="C93" s="18" t="s">
        <v>114</v>
      </c>
      <c r="D93" s="18"/>
      <c r="E93" s="18"/>
      <c r="F93" s="18"/>
      <c r="G93" s="19" t="s">
        <v>57</v>
      </c>
      <c r="H93" s="19"/>
      <c r="I93" s="20"/>
      <c r="J93" s="20"/>
      <c r="K93" s="20"/>
      <c r="L93" s="72">
        <v>54</v>
      </c>
      <c r="M93" s="22">
        <v>22</v>
      </c>
      <c r="N93" s="22"/>
      <c r="O93" s="22"/>
      <c r="P93" s="22"/>
      <c r="Q93" s="22"/>
      <c r="R93" s="23">
        <f>IF(G93="x",1,"")</f>
        <v>1</v>
      </c>
      <c r="S93" s="24">
        <f t="shared" si="0"/>
        <v>23</v>
      </c>
      <c r="T93" s="25">
        <f>IF($C93="",0,VLOOKUP($C93,[2]Hoja1!$C$11:$D$27,2,FALSE)*M93)+IF($D93="",0,VLOOKUP($D93,[2]Hoja1!$C$11:$D$27,2,FALSE)*N93)+IF($F93="",0,VLOOKUP($F93,[2]Hoja1!$C$11:$D$27,2,FALSE)*P93)+IF(R93="",0,R93*0.5)</f>
        <v>11.5</v>
      </c>
      <c r="U93" s="22">
        <v>5</v>
      </c>
      <c r="V93" s="22">
        <v>0</v>
      </c>
      <c r="W93" s="26">
        <v>1.5</v>
      </c>
      <c r="X93" s="22"/>
      <c r="Y93" s="22"/>
      <c r="Z93" s="22"/>
      <c r="AA93" s="22"/>
      <c r="AB93" s="22"/>
      <c r="AC93" s="22">
        <v>2</v>
      </c>
      <c r="AD93" s="22">
        <v>1</v>
      </c>
      <c r="AE93" s="22"/>
      <c r="AF93" s="22">
        <v>5</v>
      </c>
      <c r="AG93" s="29" t="s">
        <v>514</v>
      </c>
      <c r="AH93" s="28">
        <f t="shared" si="22"/>
        <v>26</v>
      </c>
      <c r="AI93" s="22"/>
      <c r="AJ93" s="22"/>
      <c r="AK93" s="22"/>
      <c r="AL93" s="22"/>
      <c r="AM93" s="22"/>
      <c r="AN93" s="30">
        <f t="shared" si="2"/>
        <v>0</v>
      </c>
      <c r="AO93" s="39"/>
      <c r="AP93" s="39"/>
      <c r="AQ93" s="33">
        <f t="shared" si="3"/>
        <v>0</v>
      </c>
      <c r="AR93" s="60">
        <f t="shared" si="25"/>
        <v>49</v>
      </c>
      <c r="AS93" s="343">
        <f t="shared" si="26"/>
        <v>5</v>
      </c>
      <c r="AT93" s="355">
        <v>40.366666666666667</v>
      </c>
      <c r="AU93" s="356">
        <f t="shared" si="27"/>
        <v>15.333333333333334</v>
      </c>
      <c r="AV93" s="357">
        <f t="shared" si="28"/>
        <v>0</v>
      </c>
      <c r="AW93" s="358">
        <f t="shared" si="29"/>
        <v>0</v>
      </c>
      <c r="AX93" s="356">
        <f t="shared" si="30"/>
        <v>25.033333333333331</v>
      </c>
      <c r="AY93" s="359">
        <f t="shared" si="32"/>
        <v>0.37985136251032203</v>
      </c>
      <c r="AZ93" s="360">
        <f t="shared" si="31"/>
        <v>0.62014863748967786</v>
      </c>
      <c r="BA93" s="287">
        <v>2127683</v>
      </c>
      <c r="BB93" s="287">
        <f t="shared" si="33"/>
        <v>39401.537037037036</v>
      </c>
    </row>
    <row r="94" spans="1:54" ht="15.75" thickBot="1" x14ac:dyDescent="0.3">
      <c r="A94" s="17" t="s">
        <v>515</v>
      </c>
      <c r="B94" s="17" t="s">
        <v>516</v>
      </c>
      <c r="C94" s="61" t="s">
        <v>54</v>
      </c>
      <c r="D94" s="62"/>
      <c r="E94" s="62"/>
      <c r="F94" s="62"/>
      <c r="G94" s="63" t="s">
        <v>57</v>
      </c>
      <c r="H94" s="63"/>
      <c r="I94" s="64"/>
      <c r="J94" s="64"/>
      <c r="K94" s="64" t="s">
        <v>296</v>
      </c>
      <c r="L94" s="65">
        <v>54</v>
      </c>
      <c r="M94" s="66">
        <v>15</v>
      </c>
      <c r="N94" s="67"/>
      <c r="O94" s="67"/>
      <c r="P94" s="67">
        <v>4</v>
      </c>
      <c r="Q94" s="67"/>
      <c r="R94" s="67">
        <v>1</v>
      </c>
      <c r="S94" s="24">
        <f t="shared" si="0"/>
        <v>20</v>
      </c>
      <c r="T94" s="25">
        <f>IF($C94="",0,VLOOKUP($C94,[2]Hoja1!$C$11:$D$27,2,FALSE)*M94)+IF($D94="",0,VLOOKUP($D94,[2]Hoja1!$C$11:$D$27,2,FALSE)*N94)+IF($F94="",0,VLOOKUP($F94,[2]Hoja1!$C$11:$D$27,2,FALSE)*P94)+IF(R94="",0,R94*0.5)</f>
        <v>8</v>
      </c>
      <c r="U94" s="22">
        <f>IF(G94="x",4,"")</f>
        <v>4</v>
      </c>
      <c r="V94" s="67">
        <v>4</v>
      </c>
      <c r="W94" s="68">
        <v>1.5</v>
      </c>
      <c r="X94" s="67"/>
      <c r="Y94" s="67"/>
      <c r="Z94" s="67"/>
      <c r="AA94" s="67"/>
      <c r="AB94" s="67">
        <v>3</v>
      </c>
      <c r="AC94" s="67">
        <v>1</v>
      </c>
      <c r="AD94" s="67">
        <v>0.5</v>
      </c>
      <c r="AE94" s="67"/>
      <c r="AF94" s="67">
        <v>1</v>
      </c>
      <c r="AG94" s="69" t="s">
        <v>297</v>
      </c>
      <c r="AH94" s="28">
        <f t="shared" si="22"/>
        <v>23</v>
      </c>
      <c r="AI94" s="66"/>
      <c r="AJ94" s="67"/>
      <c r="AK94" s="67"/>
      <c r="AL94" s="67"/>
      <c r="AM94" s="67"/>
      <c r="AN94" s="30">
        <f t="shared" si="2"/>
        <v>0</v>
      </c>
      <c r="AO94" s="70"/>
      <c r="AP94" s="70"/>
      <c r="AQ94" s="33">
        <f t="shared" si="3"/>
        <v>0</v>
      </c>
      <c r="AR94" s="60">
        <f t="shared" si="25"/>
        <v>43</v>
      </c>
      <c r="AS94" s="343">
        <f t="shared" si="26"/>
        <v>11</v>
      </c>
      <c r="AT94" s="355">
        <v>40.366666666666667</v>
      </c>
      <c r="AU94" s="356">
        <f t="shared" si="27"/>
        <v>15.333333333333334</v>
      </c>
      <c r="AV94" s="357">
        <f t="shared" si="28"/>
        <v>0</v>
      </c>
      <c r="AW94" s="358">
        <f t="shared" si="29"/>
        <v>0</v>
      </c>
      <c r="AX94" s="356">
        <f t="shared" si="30"/>
        <v>25.033333333333331</v>
      </c>
      <c r="AY94" s="359">
        <f t="shared" si="32"/>
        <v>0.37985136251032203</v>
      </c>
      <c r="AZ94" s="360">
        <f t="shared" si="31"/>
        <v>0.62014863748967786</v>
      </c>
      <c r="BA94" s="287">
        <v>1670318</v>
      </c>
      <c r="BB94" s="287">
        <f t="shared" si="33"/>
        <v>30931.814814814814</v>
      </c>
    </row>
    <row r="95" spans="1:54" ht="15.75" thickBot="1" x14ac:dyDescent="0.3">
      <c r="A95" s="17" t="s">
        <v>517</v>
      </c>
      <c r="B95" s="17" t="s">
        <v>518</v>
      </c>
      <c r="C95" s="18" t="s">
        <v>114</v>
      </c>
      <c r="D95" s="18"/>
      <c r="E95" s="18"/>
      <c r="F95" s="18"/>
      <c r="G95" s="19" t="s">
        <v>57</v>
      </c>
      <c r="H95" s="19"/>
      <c r="I95" s="20"/>
      <c r="J95" s="20"/>
      <c r="K95" s="20"/>
      <c r="L95" s="72">
        <v>54</v>
      </c>
      <c r="M95" s="22">
        <v>21</v>
      </c>
      <c r="N95" s="22"/>
      <c r="O95" s="22"/>
      <c r="P95" s="22"/>
      <c r="Q95" s="22"/>
      <c r="R95" s="23">
        <f>IF(G95="x",1,"")</f>
        <v>1</v>
      </c>
      <c r="S95" s="24">
        <f t="shared" si="0"/>
        <v>22</v>
      </c>
      <c r="T95" s="25">
        <f>IF($C95="",0,VLOOKUP($C95,[2]Hoja1!$C$11:$D$27,2,FALSE)*M95)+IF($D95="",0,VLOOKUP($D95,[2]Hoja1!$C$11:$D$27,2,FALSE)*N95)+IF($F95="",0,VLOOKUP($F95,[2]Hoja1!$C$11:$D$27,2,FALSE)*P95)+IF(R95="",0,R95*0.5)</f>
        <v>11</v>
      </c>
      <c r="U95" s="22">
        <v>5</v>
      </c>
      <c r="V95" s="22">
        <v>0</v>
      </c>
      <c r="W95" s="26">
        <v>1.5</v>
      </c>
      <c r="X95" s="22">
        <v>2</v>
      </c>
      <c r="Y95" s="22"/>
      <c r="Z95" s="22"/>
      <c r="AA95" s="22"/>
      <c r="AB95" s="22"/>
      <c r="AC95" s="22">
        <v>2</v>
      </c>
      <c r="AD95" s="22">
        <v>1</v>
      </c>
      <c r="AE95" s="22"/>
      <c r="AF95" s="22">
        <v>3</v>
      </c>
      <c r="AG95" s="29" t="s">
        <v>519</v>
      </c>
      <c r="AH95" s="28">
        <f t="shared" si="22"/>
        <v>25.5</v>
      </c>
      <c r="AI95" s="22"/>
      <c r="AJ95" s="22"/>
      <c r="AK95" s="22"/>
      <c r="AL95" s="22"/>
      <c r="AM95" s="22"/>
      <c r="AN95" s="30">
        <f t="shared" si="2"/>
        <v>0</v>
      </c>
      <c r="AO95" s="39"/>
      <c r="AP95" s="39"/>
      <c r="AQ95" s="33">
        <f t="shared" si="3"/>
        <v>0</v>
      </c>
      <c r="AR95" s="60">
        <f t="shared" si="25"/>
        <v>47.5</v>
      </c>
      <c r="AS95" s="343">
        <f t="shared" si="26"/>
        <v>6.5</v>
      </c>
      <c r="AT95" s="355">
        <v>40.466666666666669</v>
      </c>
      <c r="AU95" s="356">
        <f t="shared" si="27"/>
        <v>14.666666666666666</v>
      </c>
      <c r="AV95" s="357">
        <f t="shared" si="28"/>
        <v>0</v>
      </c>
      <c r="AW95" s="358">
        <f t="shared" si="29"/>
        <v>0</v>
      </c>
      <c r="AX95" s="356">
        <f t="shared" si="30"/>
        <v>25.800000000000004</v>
      </c>
      <c r="AY95" s="359">
        <f t="shared" si="32"/>
        <v>0.36243822075782534</v>
      </c>
      <c r="AZ95" s="360">
        <f t="shared" si="31"/>
        <v>0.63756177924217472</v>
      </c>
      <c r="BA95" s="287">
        <v>1947222</v>
      </c>
      <c r="BB95" s="287">
        <f t="shared" si="33"/>
        <v>36059.666666666664</v>
      </c>
    </row>
    <row r="96" spans="1:54" ht="15.75" thickBot="1" x14ac:dyDescent="0.3">
      <c r="A96" s="17" t="s">
        <v>520</v>
      </c>
      <c r="B96" s="17" t="s">
        <v>521</v>
      </c>
      <c r="C96" s="61" t="s">
        <v>99</v>
      </c>
      <c r="D96" s="62"/>
      <c r="E96" s="62"/>
      <c r="F96" s="62"/>
      <c r="G96" s="63"/>
      <c r="H96" s="63"/>
      <c r="I96" s="64"/>
      <c r="J96" s="64"/>
      <c r="K96" s="64" t="s">
        <v>296</v>
      </c>
      <c r="L96" s="65">
        <v>34</v>
      </c>
      <c r="M96" s="66">
        <v>10</v>
      </c>
      <c r="N96" s="67"/>
      <c r="O96" s="67"/>
      <c r="P96" s="67">
        <v>10</v>
      </c>
      <c r="Q96" s="67"/>
      <c r="R96" s="67"/>
      <c r="S96" s="24">
        <f t="shared" si="0"/>
        <v>20</v>
      </c>
      <c r="T96" s="25">
        <f>IF($C96="",0,VLOOKUP($C96,[2]Hoja1!$C$11:$D$27,2,FALSE)*M96)+IF($D96="",0,VLOOKUP($D96,[2]Hoja1!$C$11:$D$27,2,FALSE)*N96)+IF($F96="",0,VLOOKUP($F96,[2]Hoja1!$C$11:$D$27,2,FALSE)*P96)+IF(R96="",0,R96*0.5)</f>
        <v>3</v>
      </c>
      <c r="U96" s="22" t="str">
        <f>IF(G96="x",4,"")</f>
        <v/>
      </c>
      <c r="V96" s="67"/>
      <c r="W96" s="68">
        <v>1.5</v>
      </c>
      <c r="X96" s="67"/>
      <c r="Y96" s="67"/>
      <c r="Z96" s="67"/>
      <c r="AA96" s="67"/>
      <c r="AB96" s="67"/>
      <c r="AC96" s="67">
        <v>1</v>
      </c>
      <c r="AD96" s="67"/>
      <c r="AE96" s="67"/>
      <c r="AF96" s="67"/>
      <c r="AG96" s="69"/>
      <c r="AH96" s="28">
        <f t="shared" si="22"/>
        <v>5.5</v>
      </c>
      <c r="AI96" s="66"/>
      <c r="AJ96" s="67"/>
      <c r="AK96" s="67"/>
      <c r="AL96" s="67"/>
      <c r="AM96" s="67"/>
      <c r="AN96" s="30">
        <f t="shared" si="2"/>
        <v>0</v>
      </c>
      <c r="AO96" s="70"/>
      <c r="AP96" s="70"/>
      <c r="AQ96" s="33">
        <f t="shared" si="3"/>
        <v>0</v>
      </c>
      <c r="AR96" s="60">
        <f t="shared" si="25"/>
        <v>25.5</v>
      </c>
      <c r="AS96" s="343">
        <f t="shared" si="26"/>
        <v>8.5</v>
      </c>
      <c r="AT96" s="355">
        <v>24.3</v>
      </c>
      <c r="AU96" s="356">
        <f t="shared" si="27"/>
        <v>13.333333333333334</v>
      </c>
      <c r="AV96" s="357">
        <f t="shared" si="28"/>
        <v>0</v>
      </c>
      <c r="AW96" s="358">
        <f t="shared" si="29"/>
        <v>0</v>
      </c>
      <c r="AX96" s="356">
        <f t="shared" si="30"/>
        <v>10.966666666666667</v>
      </c>
      <c r="AY96" s="359">
        <f t="shared" si="32"/>
        <v>0.54869684499314131</v>
      </c>
      <c r="AZ96" s="360">
        <f t="shared" si="31"/>
        <v>0.45130315500685869</v>
      </c>
      <c r="BA96" s="287">
        <v>400295</v>
      </c>
      <c r="BB96" s="287">
        <f t="shared" si="33"/>
        <v>11773.382352941177</v>
      </c>
    </row>
    <row r="97" spans="1:54" ht="15.75" thickBot="1" x14ac:dyDescent="0.3">
      <c r="A97" s="17" t="s">
        <v>522</v>
      </c>
      <c r="B97" s="17" t="s">
        <v>523</v>
      </c>
      <c r="C97" s="18" t="s">
        <v>55</v>
      </c>
      <c r="D97" s="19" t="s">
        <v>56</v>
      </c>
      <c r="E97" s="19"/>
      <c r="F97" s="18"/>
      <c r="G97" s="19" t="s">
        <v>57</v>
      </c>
      <c r="H97" s="19"/>
      <c r="I97" s="20"/>
      <c r="J97" s="20"/>
      <c r="K97" s="20"/>
      <c r="L97" s="72">
        <v>54</v>
      </c>
      <c r="M97" s="22">
        <v>16</v>
      </c>
      <c r="N97" s="22">
        <v>3</v>
      </c>
      <c r="O97" s="22"/>
      <c r="P97" s="22"/>
      <c r="Q97" s="22"/>
      <c r="R97" s="23">
        <f>IF(G97="x",1,"")</f>
        <v>1</v>
      </c>
      <c r="S97" s="24">
        <f t="shared" si="0"/>
        <v>20</v>
      </c>
      <c r="T97" s="25">
        <f>IF($C97="",0,VLOOKUP($C97,[2]Hoja1!$C$11:$D$27,2,FALSE)*M97)+IF($D97="",0,VLOOKUP($D97,[2]Hoja1!$C$11:$D$27,2,FALSE)*N97)+IF($F97="",0,VLOOKUP($F97,[2]Hoja1!$C$11:$D$27,2,FALSE)*P97)+IF(R97="",0,R97*0.5)</f>
        <v>11.6</v>
      </c>
      <c r="U97" s="22">
        <f>IF(G97="x",4,"")</f>
        <v>4</v>
      </c>
      <c r="V97" s="22">
        <v>4</v>
      </c>
      <c r="W97" s="26">
        <v>1.5</v>
      </c>
      <c r="X97" s="22"/>
      <c r="Y97" s="22"/>
      <c r="Z97" s="22"/>
      <c r="AA97" s="22"/>
      <c r="AB97" s="22">
        <v>3</v>
      </c>
      <c r="AC97" s="22">
        <v>1</v>
      </c>
      <c r="AD97" s="22">
        <v>0.5</v>
      </c>
      <c r="AE97" s="22"/>
      <c r="AF97" s="22">
        <v>1</v>
      </c>
      <c r="AG97" s="29" t="s">
        <v>297</v>
      </c>
      <c r="AH97" s="28">
        <f t="shared" si="22"/>
        <v>26.6</v>
      </c>
      <c r="AI97" s="22"/>
      <c r="AJ97" s="22"/>
      <c r="AK97" s="22"/>
      <c r="AL97" s="22"/>
      <c r="AM97" s="22"/>
      <c r="AN97" s="30">
        <f t="shared" si="2"/>
        <v>0</v>
      </c>
      <c r="AO97" s="39"/>
      <c r="AP97" s="39"/>
      <c r="AQ97" s="33">
        <f t="shared" si="3"/>
        <v>0</v>
      </c>
      <c r="AR97" s="60">
        <f t="shared" si="25"/>
        <v>46.6</v>
      </c>
      <c r="AS97" s="343">
        <f t="shared" si="26"/>
        <v>7.3999999999999986</v>
      </c>
      <c r="AT97" s="355">
        <v>40.283333333333331</v>
      </c>
      <c r="AU97" s="356">
        <f t="shared" si="27"/>
        <v>15.333333333333334</v>
      </c>
      <c r="AV97" s="357">
        <f t="shared" si="28"/>
        <v>0</v>
      </c>
      <c r="AW97" s="358">
        <f t="shared" si="29"/>
        <v>0</v>
      </c>
      <c r="AX97" s="356">
        <f t="shared" si="30"/>
        <v>24.949999999999996</v>
      </c>
      <c r="AY97" s="359">
        <f t="shared" si="32"/>
        <v>0.38063715349606952</v>
      </c>
      <c r="AZ97" s="360">
        <f t="shared" si="31"/>
        <v>0.61936284650393036</v>
      </c>
      <c r="BA97" s="287">
        <v>3092812</v>
      </c>
      <c r="BB97" s="287">
        <f t="shared" si="33"/>
        <v>57274.296296296299</v>
      </c>
    </row>
    <row r="98" spans="1:54" ht="15.75" thickBot="1" x14ac:dyDescent="0.3">
      <c r="A98" s="17" t="s">
        <v>524</v>
      </c>
      <c r="B98" s="17" t="s">
        <v>525</v>
      </c>
      <c r="C98" s="61" t="s">
        <v>109</v>
      </c>
      <c r="D98" s="62"/>
      <c r="E98" s="62"/>
      <c r="F98" s="62"/>
      <c r="G98" s="63" t="s">
        <v>57</v>
      </c>
      <c r="H98" s="63"/>
      <c r="I98" s="64"/>
      <c r="J98" s="64"/>
      <c r="K98" s="64" t="s">
        <v>296</v>
      </c>
      <c r="L98" s="65">
        <v>54</v>
      </c>
      <c r="M98" s="66">
        <v>24</v>
      </c>
      <c r="N98" s="67"/>
      <c r="O98" s="67"/>
      <c r="P98" s="67"/>
      <c r="Q98" s="67"/>
      <c r="R98" s="67">
        <v>1</v>
      </c>
      <c r="S98" s="24">
        <f t="shared" si="0"/>
        <v>25</v>
      </c>
      <c r="T98" s="25">
        <f>IF($C98="",0,VLOOKUP($C98,[2]Hoja1!$C$11:$D$27,2,FALSE)*M98)+IF($D98="",0,VLOOKUP($D98,[2]Hoja1!$C$11:$D$27,2,FALSE)*N98)+IF($F98="",0,VLOOKUP($F98,[2]Hoja1!$C$11:$D$27,2,FALSE)*P98)+IF(R98="",0,R98*0.5)</f>
        <v>12.5</v>
      </c>
      <c r="U98" s="22">
        <f>IF(G98="x",4,"")</f>
        <v>4</v>
      </c>
      <c r="V98" s="67">
        <v>4</v>
      </c>
      <c r="W98" s="68">
        <v>1.5</v>
      </c>
      <c r="X98" s="67"/>
      <c r="Y98" s="67"/>
      <c r="Z98" s="67"/>
      <c r="AA98" s="67"/>
      <c r="AB98" s="67">
        <v>3</v>
      </c>
      <c r="AC98" s="67">
        <v>1</v>
      </c>
      <c r="AD98" s="67">
        <v>0.5</v>
      </c>
      <c r="AE98" s="67"/>
      <c r="AF98" s="67">
        <v>1</v>
      </c>
      <c r="AG98" s="69" t="s">
        <v>297</v>
      </c>
      <c r="AH98" s="28">
        <f t="shared" si="22"/>
        <v>27.5</v>
      </c>
      <c r="AI98" s="66"/>
      <c r="AJ98" s="67"/>
      <c r="AK98" s="67"/>
      <c r="AL98" s="67"/>
      <c r="AM98" s="67"/>
      <c r="AN98" s="30">
        <f t="shared" si="2"/>
        <v>0</v>
      </c>
      <c r="AO98" s="70"/>
      <c r="AP98" s="70"/>
      <c r="AQ98" s="33">
        <f t="shared" si="3"/>
        <v>0</v>
      </c>
      <c r="AR98" s="60">
        <f t="shared" si="25"/>
        <v>52.5</v>
      </c>
      <c r="AS98" s="343">
        <f t="shared" si="26"/>
        <v>1.5</v>
      </c>
      <c r="AT98" s="355">
        <v>40.266666666666666</v>
      </c>
      <c r="AU98" s="356">
        <f t="shared" si="27"/>
        <v>18.666666666666668</v>
      </c>
      <c r="AV98" s="357">
        <f t="shared" si="28"/>
        <v>0</v>
      </c>
      <c r="AW98" s="358">
        <f t="shared" si="29"/>
        <v>0</v>
      </c>
      <c r="AX98" s="356">
        <f t="shared" si="30"/>
        <v>21.599999999999998</v>
      </c>
      <c r="AY98" s="359">
        <f t="shared" si="32"/>
        <v>0.46357615894039739</v>
      </c>
      <c r="AZ98" s="360">
        <f t="shared" si="31"/>
        <v>0.53642384105960261</v>
      </c>
      <c r="BA98" s="287">
        <v>1620698</v>
      </c>
      <c r="BB98" s="287">
        <f t="shared" si="33"/>
        <v>30012.925925925927</v>
      </c>
    </row>
    <row r="99" spans="1:54" ht="15.75" thickBot="1" x14ac:dyDescent="0.3">
      <c r="A99" s="17" t="s">
        <v>526</v>
      </c>
      <c r="B99" s="17" t="s">
        <v>527</v>
      </c>
      <c r="C99" s="61" t="s">
        <v>99</v>
      </c>
      <c r="D99" s="62"/>
      <c r="E99" s="62"/>
      <c r="F99" s="62"/>
      <c r="G99" s="63"/>
      <c r="H99" s="63"/>
      <c r="I99" s="64"/>
      <c r="J99" s="64"/>
      <c r="K99" s="64" t="s">
        <v>349</v>
      </c>
      <c r="L99" s="65">
        <v>3</v>
      </c>
      <c r="M99" s="66"/>
      <c r="N99" s="67"/>
      <c r="O99" s="67"/>
      <c r="P99" s="67">
        <v>2</v>
      </c>
      <c r="Q99" s="67"/>
      <c r="R99" s="67"/>
      <c r="S99" s="24">
        <f t="shared" si="0"/>
        <v>2</v>
      </c>
      <c r="T99" s="25">
        <f>IF($C99="",0,VLOOKUP($C99,[2]Hoja1!$C$11:$D$27,2,FALSE)*M99)+IF($D99="",0,VLOOKUP($D99,[2]Hoja1!$C$11:$D$27,2,FALSE)*N99)+IF($F99="",0,VLOOKUP($F99,[2]Hoja1!$C$11:$D$27,2,FALSE)*P99)+IF(R99="",0,R99*0.5)</f>
        <v>0</v>
      </c>
      <c r="U99" s="22" t="str">
        <f>IF(G99="x",4,"")</f>
        <v/>
      </c>
      <c r="V99" s="67"/>
      <c r="W99" s="68">
        <v>1.5</v>
      </c>
      <c r="X99" s="67"/>
      <c r="Y99" s="67"/>
      <c r="Z99" s="67"/>
      <c r="AA99" s="67"/>
      <c r="AB99" s="67"/>
      <c r="AC99" s="67"/>
      <c r="AD99" s="67"/>
      <c r="AE99" s="67"/>
      <c r="AF99" s="67"/>
      <c r="AG99" s="69"/>
      <c r="AH99" s="28">
        <f t="shared" si="22"/>
        <v>1.5</v>
      </c>
      <c r="AI99" s="66"/>
      <c r="AJ99" s="67"/>
      <c r="AK99" s="67"/>
      <c r="AL99" s="67"/>
      <c r="AM99" s="67"/>
      <c r="AN99" s="30">
        <f t="shared" si="2"/>
        <v>0</v>
      </c>
      <c r="AO99" s="70"/>
      <c r="AP99" s="70"/>
      <c r="AQ99" s="33">
        <f t="shared" si="3"/>
        <v>0</v>
      </c>
      <c r="AR99" s="60">
        <f t="shared" si="25"/>
        <v>3.5</v>
      </c>
      <c r="AS99" s="343">
        <f t="shared" si="26"/>
        <v>-0.5</v>
      </c>
      <c r="AT99" s="355">
        <v>1.0333333333333334</v>
      </c>
      <c r="AU99" s="368">
        <f t="shared" si="27"/>
        <v>1.3333333333333333</v>
      </c>
      <c r="AV99" s="357">
        <f t="shared" si="28"/>
        <v>0</v>
      </c>
      <c r="AW99" s="358">
        <f t="shared" si="29"/>
        <v>0</v>
      </c>
      <c r="AX99" s="356">
        <f t="shared" si="30"/>
        <v>-0.29999999999999982</v>
      </c>
      <c r="AY99" s="359"/>
      <c r="AZ99" s="360"/>
      <c r="BA99" s="287">
        <v>274900</v>
      </c>
      <c r="BB99" s="287">
        <f t="shared" si="33"/>
        <v>91633.333333333328</v>
      </c>
    </row>
    <row r="100" spans="1:54" ht="15.75" thickBot="1" x14ac:dyDescent="0.3">
      <c r="A100" s="17" t="s">
        <v>528</v>
      </c>
      <c r="B100" s="17" t="s">
        <v>529</v>
      </c>
      <c r="C100" s="18" t="s">
        <v>114</v>
      </c>
      <c r="D100" s="18"/>
      <c r="E100" s="18"/>
      <c r="F100" s="18"/>
      <c r="G100" s="19" t="s">
        <v>57</v>
      </c>
      <c r="H100" s="19"/>
      <c r="I100" s="20"/>
      <c r="J100" s="20"/>
      <c r="K100" s="20"/>
      <c r="L100" s="72">
        <v>54</v>
      </c>
      <c r="M100" s="22">
        <v>22</v>
      </c>
      <c r="N100" s="22"/>
      <c r="O100" s="22"/>
      <c r="P100" s="22"/>
      <c r="Q100" s="22"/>
      <c r="R100" s="23">
        <v>2</v>
      </c>
      <c r="S100" s="24">
        <f t="shared" si="0"/>
        <v>24</v>
      </c>
      <c r="T100" s="25">
        <f>IF($C100="",0,VLOOKUP($C100,[2]Hoja1!$C$11:$D$27,2,FALSE)*M100)+IF($D100="",0,VLOOKUP($D100,[2]Hoja1!$C$11:$D$27,2,FALSE)*N100)+IF($F100="",0,VLOOKUP($F100,[2]Hoja1!$C$11:$D$27,2,FALSE)*P100)+IF(R100="",0,R100*0.5)</f>
        <v>12</v>
      </c>
      <c r="U100" s="22">
        <v>5</v>
      </c>
      <c r="V100" s="22">
        <v>0</v>
      </c>
      <c r="W100" s="26">
        <v>1.5</v>
      </c>
      <c r="X100" s="22">
        <v>2</v>
      </c>
      <c r="Y100" s="22"/>
      <c r="Z100" s="22"/>
      <c r="AA100" s="22"/>
      <c r="AB100" s="22"/>
      <c r="AC100" s="22">
        <v>1</v>
      </c>
      <c r="AD100" s="22">
        <v>1</v>
      </c>
      <c r="AE100" s="22"/>
      <c r="AF100" s="22">
        <v>5</v>
      </c>
      <c r="AG100" s="29" t="s">
        <v>530</v>
      </c>
      <c r="AH100" s="28">
        <f t="shared" si="22"/>
        <v>27.5</v>
      </c>
      <c r="AI100" s="22"/>
      <c r="AJ100" s="22"/>
      <c r="AK100" s="22"/>
      <c r="AL100" s="22"/>
      <c r="AM100" s="22"/>
      <c r="AN100" s="30">
        <f t="shared" si="2"/>
        <v>0</v>
      </c>
      <c r="AO100" s="39"/>
      <c r="AP100" s="39"/>
      <c r="AQ100" s="33">
        <f t="shared" si="3"/>
        <v>0</v>
      </c>
      <c r="AR100" s="60">
        <f t="shared" ref="AR100:AR102" si="34">+S100+AH100+AN100+AQ100</f>
        <v>51.5</v>
      </c>
      <c r="AS100" s="343">
        <f t="shared" ref="AS100:AS102" si="35">+L100-AR100</f>
        <v>2.5</v>
      </c>
      <c r="AT100" s="355">
        <v>40.366666666666667</v>
      </c>
      <c r="AU100" s="356">
        <f t="shared" si="27"/>
        <v>16</v>
      </c>
      <c r="AV100" s="357">
        <f t="shared" si="28"/>
        <v>0</v>
      </c>
      <c r="AW100" s="358">
        <f t="shared" si="29"/>
        <v>0</v>
      </c>
      <c r="AX100" s="356">
        <f t="shared" si="30"/>
        <v>24.366666666666667</v>
      </c>
      <c r="AY100" s="359">
        <f t="shared" si="32"/>
        <v>0.39636663914120562</v>
      </c>
      <c r="AZ100" s="360">
        <f t="shared" si="31"/>
        <v>0.60363336085879438</v>
      </c>
      <c r="BA100" s="287">
        <v>1927115</v>
      </c>
      <c r="BB100" s="287">
        <f t="shared" si="33"/>
        <v>35687.314814814818</v>
      </c>
    </row>
    <row r="101" spans="1:54" ht="15.75" thickBot="1" x14ac:dyDescent="0.3">
      <c r="A101" s="77" t="s">
        <v>531</v>
      </c>
      <c r="B101" s="77" t="s">
        <v>532</v>
      </c>
      <c r="C101" s="18" t="s">
        <v>55</v>
      </c>
      <c r="D101" s="18"/>
      <c r="E101" s="18"/>
      <c r="F101" s="18"/>
      <c r="G101" s="19" t="s">
        <v>57</v>
      </c>
      <c r="H101" s="19" t="s">
        <v>57</v>
      </c>
      <c r="I101" s="20"/>
      <c r="J101" s="20"/>
      <c r="K101" s="20"/>
      <c r="L101" s="72">
        <v>54</v>
      </c>
      <c r="M101" s="22">
        <v>15</v>
      </c>
      <c r="N101" s="22"/>
      <c r="O101" s="22"/>
      <c r="P101" s="22"/>
      <c r="Q101" s="22"/>
      <c r="R101" s="23"/>
      <c r="S101" s="24">
        <f t="shared" si="0"/>
        <v>15</v>
      </c>
      <c r="T101" s="25">
        <f>IF($C101="",0,VLOOKUP($C101,[2]Hoja1!$C$11:$D$27,2,FALSE)*M101)+IF($D101="",0,VLOOKUP($D101,[2]Hoja1!$C$11:$D$27,2,FALSE)*N101)+IF($F101="",0,VLOOKUP($F101,[2]Hoja1!$C$11:$D$27,2,FALSE)*P101)+IF(R101="",0,R101*0.5)</f>
        <v>9</v>
      </c>
      <c r="U101" s="22">
        <f>IF(G101="x",4,"")</f>
        <v>4</v>
      </c>
      <c r="V101" s="22">
        <v>4</v>
      </c>
      <c r="W101" s="26">
        <v>1.5</v>
      </c>
      <c r="X101" s="22"/>
      <c r="Y101" s="22"/>
      <c r="Z101" s="22"/>
      <c r="AA101" s="22"/>
      <c r="AB101" s="22">
        <v>3</v>
      </c>
      <c r="AC101" s="22"/>
      <c r="AD101" s="22"/>
      <c r="AE101" s="22"/>
      <c r="AF101" s="22">
        <v>1</v>
      </c>
      <c r="AG101" s="29" t="s">
        <v>297</v>
      </c>
      <c r="AH101" s="28">
        <f t="shared" si="22"/>
        <v>22.5</v>
      </c>
      <c r="AI101" s="22"/>
      <c r="AJ101" s="170">
        <v>12</v>
      </c>
      <c r="AK101" s="22"/>
      <c r="AL101" s="22"/>
      <c r="AM101" s="22"/>
      <c r="AN101" s="30">
        <f t="shared" si="2"/>
        <v>12</v>
      </c>
      <c r="AO101" s="39"/>
      <c r="AP101" s="39"/>
      <c r="AQ101" s="33">
        <f t="shared" si="3"/>
        <v>0</v>
      </c>
      <c r="AR101" s="60">
        <f t="shared" si="34"/>
        <v>49.5</v>
      </c>
      <c r="AS101" s="343">
        <f t="shared" si="35"/>
        <v>4.5</v>
      </c>
      <c r="AT101" s="355">
        <v>40.233333333333334</v>
      </c>
      <c r="AU101" s="356">
        <f t="shared" si="27"/>
        <v>12</v>
      </c>
      <c r="AV101" s="357">
        <f t="shared" si="28"/>
        <v>8</v>
      </c>
      <c r="AW101" s="358">
        <f t="shared" si="29"/>
        <v>0</v>
      </c>
      <c r="AX101" s="356">
        <f t="shared" si="30"/>
        <v>20.233333333333334</v>
      </c>
      <c r="AY101" s="359">
        <f t="shared" si="32"/>
        <v>0.37228541882109617</v>
      </c>
      <c r="AZ101" s="360">
        <f t="shared" si="31"/>
        <v>0.62771458117890389</v>
      </c>
      <c r="BA101" s="287">
        <v>3755341</v>
      </c>
      <c r="BB101" s="287">
        <f t="shared" si="33"/>
        <v>69543.351851851854</v>
      </c>
    </row>
    <row r="102" spans="1:54" ht="15.75" thickBot="1" x14ac:dyDescent="0.3">
      <c r="A102" s="78" t="s">
        <v>533</v>
      </c>
      <c r="B102" s="78" t="s">
        <v>534</v>
      </c>
      <c r="C102" s="79" t="s">
        <v>55</v>
      </c>
      <c r="D102" s="79"/>
      <c r="E102" s="79"/>
      <c r="F102" s="79"/>
      <c r="G102" s="80" t="s">
        <v>57</v>
      </c>
      <c r="H102" s="80"/>
      <c r="I102" s="81"/>
      <c r="J102" s="81"/>
      <c r="K102" s="81"/>
      <c r="L102" s="82">
        <v>54</v>
      </c>
      <c r="M102" s="47">
        <v>18</v>
      </c>
      <c r="N102" s="47"/>
      <c r="O102" s="47"/>
      <c r="P102" s="47"/>
      <c r="Q102" s="47"/>
      <c r="R102" s="83"/>
      <c r="S102" s="84">
        <f t="shared" si="0"/>
        <v>18</v>
      </c>
      <c r="T102" s="85">
        <f>IF($C102="",0,VLOOKUP($C102,[2]Hoja1!$C$11:$D$27,2,FALSE)*M102)+IF($D102="",0,VLOOKUP($D102,[2]Hoja1!$C$11:$D$27,2,FALSE)*N102)+IF($F102="",0,VLOOKUP($F102,[2]Hoja1!$C$11:$D$27,2,FALSE)*P102)+IF(R102="",0,R102*0.5)</f>
        <v>10.799999999999999</v>
      </c>
      <c r="U102" s="47">
        <f>IF(G102="x",4,"")</f>
        <v>4</v>
      </c>
      <c r="V102" s="47">
        <v>4</v>
      </c>
      <c r="W102" s="86">
        <v>1.5</v>
      </c>
      <c r="X102" s="47"/>
      <c r="Y102" s="47"/>
      <c r="Z102" s="47"/>
      <c r="AA102" s="47"/>
      <c r="AB102" s="47">
        <v>3</v>
      </c>
      <c r="AC102" s="47">
        <v>1</v>
      </c>
      <c r="AD102" s="47">
        <v>0.5</v>
      </c>
      <c r="AE102" s="47"/>
      <c r="AF102" s="47">
        <v>1</v>
      </c>
      <c r="AG102" s="87" t="s">
        <v>297</v>
      </c>
      <c r="AH102" s="88">
        <f t="shared" si="22"/>
        <v>25.799999999999997</v>
      </c>
      <c r="AI102" s="47"/>
      <c r="AJ102" s="47"/>
      <c r="AK102" s="47"/>
      <c r="AL102" s="47"/>
      <c r="AM102" s="47"/>
      <c r="AN102" s="89">
        <f t="shared" si="2"/>
        <v>0</v>
      </c>
      <c r="AO102" s="90"/>
      <c r="AP102" s="90"/>
      <c r="AQ102" s="91">
        <f t="shared" si="3"/>
        <v>0</v>
      </c>
      <c r="AR102" s="92">
        <f t="shared" si="34"/>
        <v>43.8</v>
      </c>
      <c r="AS102" s="344">
        <f t="shared" si="35"/>
        <v>10.200000000000003</v>
      </c>
      <c r="AT102" s="362">
        <v>40.299999999999997</v>
      </c>
      <c r="AU102" s="363">
        <f t="shared" si="27"/>
        <v>14</v>
      </c>
      <c r="AV102" s="364">
        <f t="shared" si="28"/>
        <v>0</v>
      </c>
      <c r="AW102" s="365">
        <f t="shared" si="29"/>
        <v>0</v>
      </c>
      <c r="AX102" s="363">
        <f t="shared" si="30"/>
        <v>26.299999999999997</v>
      </c>
      <c r="AY102" s="366">
        <f t="shared" si="32"/>
        <v>0.34739454094292804</v>
      </c>
      <c r="AZ102" s="367">
        <f t="shared" si="31"/>
        <v>0.6526054590570719</v>
      </c>
      <c r="BA102" s="287">
        <v>3573692</v>
      </c>
      <c r="BB102" s="287">
        <f t="shared" si="33"/>
        <v>66179.481481481474</v>
      </c>
    </row>
    <row r="103" spans="1:54" x14ac:dyDescent="0.25">
      <c r="L103" s="287">
        <f>SUM(L4:L102)</f>
        <v>4954</v>
      </c>
      <c r="M103" s="287">
        <f t="shared" ref="M103:AX103" si="36">SUM(M4:M102)</f>
        <v>1683</v>
      </c>
      <c r="N103" s="287">
        <f t="shared" si="36"/>
        <v>32</v>
      </c>
      <c r="O103" s="287">
        <f t="shared" si="36"/>
        <v>0</v>
      </c>
      <c r="P103" s="287">
        <f t="shared" si="36"/>
        <v>124</v>
      </c>
      <c r="Q103" s="287">
        <f t="shared" si="36"/>
        <v>28</v>
      </c>
      <c r="R103" s="287">
        <f t="shared" si="36"/>
        <v>93</v>
      </c>
      <c r="S103" s="287">
        <f t="shared" si="36"/>
        <v>1960</v>
      </c>
      <c r="T103" s="287">
        <f t="shared" si="36"/>
        <v>862.80000000000007</v>
      </c>
      <c r="U103" s="287">
        <f t="shared" si="36"/>
        <v>311</v>
      </c>
      <c r="V103" s="287">
        <f t="shared" si="36"/>
        <v>196</v>
      </c>
      <c r="W103" s="287">
        <f t="shared" si="36"/>
        <v>148.5</v>
      </c>
      <c r="X103" s="287">
        <f t="shared" si="36"/>
        <v>45</v>
      </c>
      <c r="Y103" s="287">
        <f t="shared" si="36"/>
        <v>139</v>
      </c>
      <c r="Z103" s="287">
        <f t="shared" si="36"/>
        <v>8</v>
      </c>
      <c r="AA103" s="287">
        <f t="shared" si="36"/>
        <v>4</v>
      </c>
      <c r="AB103" s="287">
        <f t="shared" si="36"/>
        <v>124</v>
      </c>
      <c r="AC103" s="287">
        <f t="shared" si="36"/>
        <v>124</v>
      </c>
      <c r="AD103" s="287">
        <f t="shared" si="36"/>
        <v>59</v>
      </c>
      <c r="AE103" s="287">
        <f t="shared" si="36"/>
        <v>14.5</v>
      </c>
      <c r="AF103" s="287">
        <f t="shared" si="36"/>
        <v>303</v>
      </c>
      <c r="AG103" s="287">
        <f t="shared" si="36"/>
        <v>0</v>
      </c>
      <c r="AH103" s="287">
        <f t="shared" si="36"/>
        <v>2338.7999999999997</v>
      </c>
      <c r="AI103" s="287">
        <f t="shared" si="36"/>
        <v>161</v>
      </c>
      <c r="AJ103" s="287">
        <f t="shared" si="36"/>
        <v>97</v>
      </c>
      <c r="AK103" s="287">
        <f t="shared" si="36"/>
        <v>0</v>
      </c>
      <c r="AL103" s="287">
        <f t="shared" si="36"/>
        <v>14</v>
      </c>
      <c r="AM103" s="287">
        <f t="shared" si="36"/>
        <v>0</v>
      </c>
      <c r="AN103" s="287">
        <f t="shared" si="36"/>
        <v>272</v>
      </c>
      <c r="AO103" s="287">
        <f t="shared" si="36"/>
        <v>2</v>
      </c>
      <c r="AP103" s="287">
        <f t="shared" si="36"/>
        <v>0</v>
      </c>
      <c r="AQ103" s="287">
        <f t="shared" si="36"/>
        <v>2</v>
      </c>
      <c r="AR103" s="287">
        <f t="shared" si="36"/>
        <v>4572.8</v>
      </c>
      <c r="AS103" s="287">
        <f t="shared" si="36"/>
        <v>381.2</v>
      </c>
      <c r="AT103" s="298">
        <f t="shared" si="36"/>
        <v>3646.5000000000014</v>
      </c>
      <c r="AU103" s="298">
        <f t="shared" si="36"/>
        <v>1389.333333333333</v>
      </c>
      <c r="AV103" s="298">
        <f t="shared" si="36"/>
        <v>181.33333333333334</v>
      </c>
      <c r="AW103" s="298">
        <f t="shared" si="36"/>
        <v>1.3333333333333339</v>
      </c>
      <c r="AX103" s="298">
        <f t="shared" si="36"/>
        <v>2074.5</v>
      </c>
      <c r="AY103" s="341">
        <f>AVERAGE(AY4:AY102)</f>
        <v>0.41020215754025124</v>
      </c>
      <c r="AZ103" s="341">
        <f>AVERAGE(AZ4:AZ102)</f>
        <v>0.58979784245974876</v>
      </c>
      <c r="BA103" s="287">
        <f>SUM(BA4:BA102)</f>
        <v>239284771</v>
      </c>
      <c r="BB103" s="287">
        <f>AVERAGE(BB4:BB102)</f>
        <v>49276.01562525233</v>
      </c>
    </row>
  </sheetData>
  <autoFilter ref="A3:AZ103"/>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14:formula1>
            <xm:f>'C:\Users\Constanza Nieto\Documents\Seduc\MODELO HNL y Asigna\2025\Distribución Horas\Recibido\[Distribución de Horas Tabancura 2025 (FINAL).xlsx]Hoja1'!#REF!</xm:f>
          </x14:formula1>
          <xm:sqref>J4:K102 C4:F5 C6 F6 C7:F30 C31:C32 F31:F32 C33:F36 C37 F37 C38:F45 C46 F46 C47:F49 C50 F50 C51:F57 C58 F58 C59:F63 C64:C66 F64:F66 C67:F96 C97 F97 C98:F102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BB92"/>
  <sheetViews>
    <sheetView topLeftCell="A7" zoomScale="80" zoomScaleNormal="80" workbookViewId="0">
      <selection activeCell="AZ89" sqref="AZ89"/>
    </sheetView>
  </sheetViews>
  <sheetFormatPr baseColWidth="10" defaultRowHeight="15" x14ac:dyDescent="0.25"/>
  <cols>
    <col min="3" max="10" width="3.85546875" customWidth="1"/>
    <col min="11" max="11" width="5.42578125" customWidth="1"/>
    <col min="12" max="12" width="6.42578125" customWidth="1"/>
    <col min="13" max="13" width="5.5703125" customWidth="1"/>
    <col min="14" max="18" width="3.85546875" customWidth="1"/>
    <col min="19" max="19" width="5.28515625" customWidth="1"/>
    <col min="20" max="32" width="5.140625" customWidth="1"/>
    <col min="33" max="33" width="7.28515625" customWidth="1"/>
    <col min="34" max="34" width="5.42578125" customWidth="1"/>
    <col min="35" max="39" width="3.85546875" customWidth="1"/>
    <col min="40" max="40" width="5.28515625" customWidth="1"/>
    <col min="41" max="43" width="3.85546875" customWidth="1"/>
    <col min="44" max="44" width="6.42578125" customWidth="1"/>
    <col min="45" max="45" width="3.85546875" customWidth="1"/>
    <col min="46" max="46" width="5.5703125" customWidth="1"/>
    <col min="47" max="49" width="3.85546875" customWidth="1"/>
    <col min="50" max="50" width="5.42578125" customWidth="1"/>
    <col min="51" max="51" width="6.42578125" customWidth="1"/>
    <col min="52" max="52" width="6.7109375" customWidth="1"/>
    <col min="53" max="53" width="10.28515625" customWidth="1"/>
    <col min="54" max="54" width="9.5703125" customWidth="1"/>
  </cols>
  <sheetData>
    <row r="1" spans="1:54" ht="21.75" thickBot="1" x14ac:dyDescent="0.4">
      <c r="A1" s="53" t="s">
        <v>920</v>
      </c>
      <c r="B1" s="1"/>
      <c r="C1" s="1"/>
      <c r="D1" s="1"/>
      <c r="E1" s="1"/>
      <c r="F1" s="1"/>
      <c r="G1" s="1"/>
      <c r="H1" s="2"/>
      <c r="I1" s="2"/>
      <c r="J1" s="2"/>
      <c r="K1" s="2"/>
      <c r="L1" s="54"/>
      <c r="M1" s="1"/>
      <c r="N1" s="1"/>
      <c r="O1" s="1"/>
      <c r="P1" s="1"/>
      <c r="Q1" s="55"/>
      <c r="R1" s="56"/>
      <c r="S1" s="4"/>
      <c r="T1" s="1"/>
      <c r="U1" s="3"/>
      <c r="V1" s="1"/>
      <c r="W1" s="57"/>
      <c r="X1" s="1"/>
      <c r="Y1" s="1"/>
      <c r="Z1" s="1"/>
      <c r="AA1" s="1"/>
      <c r="AB1" s="1"/>
      <c r="AC1" s="1"/>
      <c r="AD1" s="1"/>
      <c r="AE1" s="1"/>
      <c r="AF1" s="1"/>
      <c r="AG1" s="1"/>
      <c r="AH1" s="3"/>
      <c r="AI1" s="1"/>
      <c r="AJ1" s="1"/>
      <c r="AK1" s="1"/>
      <c r="AL1" s="1"/>
      <c r="AM1" s="58"/>
      <c r="AN1" s="3"/>
      <c r="AO1" s="1"/>
      <c r="AP1" s="1"/>
      <c r="AQ1" s="57"/>
      <c r="AR1" s="5"/>
      <c r="AS1" s="1"/>
      <c r="AT1" s="1"/>
      <c r="AU1" s="1"/>
      <c r="AV1" s="1"/>
      <c r="AW1" s="1"/>
      <c r="AX1" s="1"/>
      <c r="AY1" s="1"/>
      <c r="AZ1" s="1"/>
    </row>
    <row r="2" spans="1:54" ht="21.75" thickBot="1" x14ac:dyDescent="0.4">
      <c r="A2" s="53"/>
      <c r="B2" s="1"/>
      <c r="C2" s="1"/>
      <c r="D2" s="1"/>
      <c r="E2" s="1"/>
      <c r="F2" s="1"/>
      <c r="G2" s="1"/>
      <c r="H2" s="2"/>
      <c r="I2" s="2"/>
      <c r="J2" s="2"/>
      <c r="K2" s="2"/>
      <c r="L2" s="54"/>
      <c r="M2" s="1"/>
      <c r="N2" s="1"/>
      <c r="O2" s="1"/>
      <c r="P2" s="1"/>
      <c r="Q2" s="55"/>
      <c r="R2" s="56"/>
      <c r="S2" s="4"/>
      <c r="T2" s="1"/>
      <c r="U2" s="3"/>
      <c r="V2" s="1"/>
      <c r="W2" s="57"/>
      <c r="X2" s="1"/>
      <c r="Y2" s="1"/>
      <c r="Z2" s="1"/>
      <c r="AA2" s="1"/>
      <c r="AB2" s="1"/>
      <c r="AC2" s="1"/>
      <c r="AD2" s="1"/>
      <c r="AE2" s="1"/>
      <c r="AF2" s="1"/>
      <c r="AG2" s="1"/>
      <c r="AH2" s="3"/>
      <c r="AI2" s="1"/>
      <c r="AJ2" s="1"/>
      <c r="AK2" s="1"/>
      <c r="AL2" s="1"/>
      <c r="AM2" s="58"/>
      <c r="AN2" s="3"/>
      <c r="AO2" s="1"/>
      <c r="AP2" s="1"/>
      <c r="AQ2" s="57"/>
      <c r="AR2" s="5"/>
      <c r="AS2" s="1"/>
      <c r="AT2" s="345" t="s">
        <v>1187</v>
      </c>
      <c r="AU2" s="381"/>
      <c r="AV2" s="347"/>
      <c r="AW2" s="347"/>
      <c r="AX2" s="347"/>
      <c r="AY2" s="347"/>
      <c r="AZ2" s="382"/>
    </row>
    <row r="3" spans="1:54" ht="97.9" customHeight="1" thickBot="1" x14ac:dyDescent="0.3">
      <c r="A3" s="3" t="s">
        <v>1</v>
      </c>
      <c r="B3" s="3" t="s">
        <v>2</v>
      </c>
      <c r="C3" s="10" t="s">
        <v>3</v>
      </c>
      <c r="D3" s="11" t="s">
        <v>4</v>
      </c>
      <c r="E3" s="11" t="s">
        <v>5</v>
      </c>
      <c r="F3" s="11" t="s">
        <v>6</v>
      </c>
      <c r="G3" s="11" t="s">
        <v>7</v>
      </c>
      <c r="H3" s="11" t="s">
        <v>8</v>
      </c>
      <c r="I3" s="11" t="s">
        <v>9</v>
      </c>
      <c r="J3" s="11" t="s">
        <v>10</v>
      </c>
      <c r="K3" s="12" t="s">
        <v>11</v>
      </c>
      <c r="L3" s="253" t="s">
        <v>0</v>
      </c>
      <c r="M3" s="10" t="s">
        <v>1082</v>
      </c>
      <c r="N3" s="13" t="s">
        <v>1083</v>
      </c>
      <c r="O3" s="13" t="s">
        <v>1084</v>
      </c>
      <c r="P3" s="13" t="s">
        <v>1085</v>
      </c>
      <c r="Q3" s="11" t="s">
        <v>1086</v>
      </c>
      <c r="R3" s="14" t="s">
        <v>12</v>
      </c>
      <c r="S3" s="15" t="s">
        <v>13</v>
      </c>
      <c r="T3" s="240" t="s">
        <v>14</v>
      </c>
      <c r="U3" s="241" t="s">
        <v>15</v>
      </c>
      <c r="V3" s="242" t="s">
        <v>16</v>
      </c>
      <c r="W3" s="243" t="s">
        <v>17</v>
      </c>
      <c r="X3" s="242" t="s">
        <v>18</v>
      </c>
      <c r="Y3" s="242" t="s">
        <v>19</v>
      </c>
      <c r="Z3" s="241" t="s">
        <v>20</v>
      </c>
      <c r="AA3" s="241" t="s">
        <v>21</v>
      </c>
      <c r="AB3" s="244" t="s">
        <v>22</v>
      </c>
      <c r="AC3" s="245" t="s">
        <v>23</v>
      </c>
      <c r="AD3" s="241" t="s">
        <v>24</v>
      </c>
      <c r="AE3" s="242" t="s">
        <v>25</v>
      </c>
      <c r="AF3" s="241" t="s">
        <v>26</v>
      </c>
      <c r="AG3" s="242" t="s">
        <v>27</v>
      </c>
      <c r="AH3" s="246" t="s">
        <v>28</v>
      </c>
      <c r="AI3" s="240" t="s">
        <v>29</v>
      </c>
      <c r="AJ3" s="241" t="s">
        <v>30</v>
      </c>
      <c r="AK3" s="247" t="s">
        <v>31</v>
      </c>
      <c r="AL3" s="241" t="s">
        <v>32</v>
      </c>
      <c r="AM3" s="242" t="s">
        <v>33</v>
      </c>
      <c r="AN3" s="248" t="s">
        <v>34</v>
      </c>
      <c r="AO3" s="249" t="s">
        <v>35</v>
      </c>
      <c r="AP3" s="250" t="s">
        <v>36</v>
      </c>
      <c r="AQ3" s="251" t="s">
        <v>37</v>
      </c>
      <c r="AR3" s="252" t="s">
        <v>38</v>
      </c>
      <c r="AS3" s="342" t="s">
        <v>39</v>
      </c>
      <c r="AT3" s="349" t="s">
        <v>40</v>
      </c>
      <c r="AU3" s="350" t="s">
        <v>41</v>
      </c>
      <c r="AV3" s="351" t="s">
        <v>42</v>
      </c>
      <c r="AW3" s="351" t="s">
        <v>43</v>
      </c>
      <c r="AX3" s="352" t="s">
        <v>44</v>
      </c>
      <c r="AY3" s="352" t="s">
        <v>1087</v>
      </c>
      <c r="AZ3" s="375" t="s">
        <v>1088</v>
      </c>
      <c r="BA3" s="16" t="s">
        <v>1191</v>
      </c>
      <c r="BB3" s="16" t="s">
        <v>1192</v>
      </c>
    </row>
    <row r="4" spans="1:54" ht="15.75" thickBot="1" x14ac:dyDescent="0.3">
      <c r="A4" s="17" t="s">
        <v>921</v>
      </c>
      <c r="B4" s="17" t="s">
        <v>922</v>
      </c>
      <c r="C4" s="97" t="s">
        <v>54</v>
      </c>
      <c r="D4" s="18"/>
      <c r="E4" s="18"/>
      <c r="F4" s="18"/>
      <c r="G4" s="146"/>
      <c r="H4" s="146"/>
      <c r="I4" s="146" t="s">
        <v>609</v>
      </c>
      <c r="J4" s="147" t="s">
        <v>205</v>
      </c>
      <c r="K4" s="148" t="s">
        <v>290</v>
      </c>
      <c r="L4" s="392">
        <v>40</v>
      </c>
      <c r="M4" s="22">
        <v>4</v>
      </c>
      <c r="N4" s="22"/>
      <c r="O4" s="22"/>
      <c r="P4" s="22"/>
      <c r="Q4" s="22"/>
      <c r="R4" s="23"/>
      <c r="S4" s="24">
        <v>4</v>
      </c>
      <c r="T4" s="38">
        <v>2</v>
      </c>
      <c r="U4" s="22"/>
      <c r="V4" s="22"/>
      <c r="W4" s="22">
        <v>2</v>
      </c>
      <c r="X4" s="22"/>
      <c r="Y4" s="22"/>
      <c r="Z4" s="149"/>
      <c r="AA4" s="149"/>
      <c r="AB4" s="22">
        <v>0</v>
      </c>
      <c r="AC4" s="22">
        <v>1</v>
      </c>
      <c r="AD4" s="22">
        <v>1</v>
      </c>
      <c r="AE4" s="22"/>
      <c r="AF4" s="22"/>
      <c r="AG4" s="149"/>
      <c r="AH4" s="28">
        <v>6</v>
      </c>
      <c r="AI4" s="22">
        <v>30</v>
      </c>
      <c r="AJ4" s="22"/>
      <c r="AK4" s="22"/>
      <c r="AL4" s="22"/>
      <c r="AM4" s="29"/>
      <c r="AN4" s="30">
        <v>30</v>
      </c>
      <c r="AO4" s="31"/>
      <c r="AP4" s="31"/>
      <c r="AQ4" s="33">
        <v>0</v>
      </c>
      <c r="AR4" s="34">
        <v>40</v>
      </c>
      <c r="AS4" s="389">
        <v>0</v>
      </c>
      <c r="AT4" s="355">
        <v>31.033333333333335</v>
      </c>
      <c r="AU4" s="356">
        <f t="shared" ref="AU4:AU35" si="0">+(S4+AB4)*40/60</f>
        <v>2.6666666666666665</v>
      </c>
      <c r="AV4" s="386">
        <v>20</v>
      </c>
      <c r="AW4" s="358">
        <v>0</v>
      </c>
      <c r="AX4" s="356">
        <v>8.3666666666666671</v>
      </c>
      <c r="AY4" s="387">
        <f t="shared" ref="AY4" si="1">+AU4/(AU4+AX4)</f>
        <v>0.2416918429003021</v>
      </c>
      <c r="AZ4" s="388">
        <f t="shared" ref="AZ4" si="2">+AX4/(AU4+AX4)</f>
        <v>0.7583081570996979</v>
      </c>
      <c r="BA4" s="287">
        <v>1761625</v>
      </c>
      <c r="BB4" s="287">
        <f>+BA4/L4</f>
        <v>44040.625</v>
      </c>
    </row>
    <row r="5" spans="1:54" ht="15.75" thickBot="1" x14ac:dyDescent="0.3">
      <c r="A5" s="17" t="s">
        <v>923</v>
      </c>
      <c r="B5" s="17" t="s">
        <v>924</v>
      </c>
      <c r="C5" s="97" t="s">
        <v>56</v>
      </c>
      <c r="D5" s="150"/>
      <c r="E5" s="150"/>
      <c r="F5" s="150"/>
      <c r="G5" s="151" t="s">
        <v>609</v>
      </c>
      <c r="H5" s="146"/>
      <c r="I5" s="151"/>
      <c r="J5" s="152"/>
      <c r="K5" s="148"/>
      <c r="L5" s="393">
        <v>35</v>
      </c>
      <c r="M5" s="22">
        <v>12</v>
      </c>
      <c r="N5" s="153"/>
      <c r="O5" s="153"/>
      <c r="P5" s="153"/>
      <c r="Q5" s="22"/>
      <c r="R5" s="23">
        <v>1</v>
      </c>
      <c r="S5" s="24">
        <v>13</v>
      </c>
      <c r="T5" s="38">
        <v>6.5</v>
      </c>
      <c r="U5" s="22">
        <v>4</v>
      </c>
      <c r="V5" s="22">
        <v>3</v>
      </c>
      <c r="W5" s="22">
        <v>2</v>
      </c>
      <c r="X5" s="153"/>
      <c r="Y5" s="153"/>
      <c r="Z5" s="149"/>
      <c r="AA5" s="149"/>
      <c r="AB5" s="22"/>
      <c r="AC5" s="22">
        <v>2</v>
      </c>
      <c r="AD5" s="22">
        <v>2.5</v>
      </c>
      <c r="AE5" s="22"/>
      <c r="AF5" s="22">
        <v>2</v>
      </c>
      <c r="AG5" s="154" t="s">
        <v>925</v>
      </c>
      <c r="AH5" s="28">
        <v>22</v>
      </c>
      <c r="AI5" s="155"/>
      <c r="AJ5" s="153"/>
      <c r="AK5" s="153"/>
      <c r="AL5" s="22"/>
      <c r="AM5" s="29"/>
      <c r="AN5" s="156">
        <v>0</v>
      </c>
      <c r="AO5" s="39"/>
      <c r="AP5" s="39"/>
      <c r="AQ5" s="33">
        <v>0</v>
      </c>
      <c r="AR5" s="34">
        <v>35</v>
      </c>
      <c r="AS5" s="380">
        <v>0</v>
      </c>
      <c r="AT5" s="355">
        <v>34.299999999999997</v>
      </c>
      <c r="AU5" s="356">
        <f t="shared" si="0"/>
        <v>8.6666666666666661</v>
      </c>
      <c r="AV5" s="386">
        <v>0</v>
      </c>
      <c r="AW5" s="358">
        <v>0</v>
      </c>
      <c r="AX5" s="356">
        <v>25.633333333333326</v>
      </c>
      <c r="AY5" s="387">
        <f t="shared" ref="AY5:AY68" si="3">+AU5/(AU5+AX5)</f>
        <v>0.25267249757045679</v>
      </c>
      <c r="AZ5" s="388">
        <f t="shared" ref="AZ5:AZ68" si="4">+AX5/(AU5+AX5)</f>
        <v>0.74732750242954327</v>
      </c>
      <c r="BA5" s="287">
        <v>1855669</v>
      </c>
      <c r="BB5" s="287">
        <f t="shared" ref="BB5:BB68" si="5">+BA5/L5</f>
        <v>53019.114285714284</v>
      </c>
    </row>
    <row r="6" spans="1:54" ht="15.75" thickBot="1" x14ac:dyDescent="0.3">
      <c r="A6" s="17" t="s">
        <v>926</v>
      </c>
      <c r="B6" s="17" t="s">
        <v>927</v>
      </c>
      <c r="C6" s="97" t="s">
        <v>114</v>
      </c>
      <c r="D6" s="150"/>
      <c r="E6" s="150"/>
      <c r="F6" s="150"/>
      <c r="G6" s="151" t="s">
        <v>57</v>
      </c>
      <c r="H6" s="146"/>
      <c r="I6" s="151"/>
      <c r="J6" s="152"/>
      <c r="K6" s="148"/>
      <c r="L6" s="393">
        <v>48.75</v>
      </c>
      <c r="M6" s="22">
        <v>17</v>
      </c>
      <c r="N6" s="153"/>
      <c r="O6" s="153"/>
      <c r="P6" s="153"/>
      <c r="Q6" s="22">
        <v>2</v>
      </c>
      <c r="R6" s="23">
        <v>1</v>
      </c>
      <c r="S6" s="24">
        <f>SUBTOTAL(9,M6:R6)</f>
        <v>20</v>
      </c>
      <c r="T6" s="433">
        <v>8.5</v>
      </c>
      <c r="U6" s="22">
        <v>6.5</v>
      </c>
      <c r="V6" s="22"/>
      <c r="W6" s="157">
        <v>2</v>
      </c>
      <c r="X6" s="153"/>
      <c r="Y6" s="153"/>
      <c r="Z6" s="149"/>
      <c r="AA6" s="149" t="s">
        <v>57</v>
      </c>
      <c r="AB6" s="22"/>
      <c r="AC6" s="22">
        <v>3</v>
      </c>
      <c r="AD6" s="22">
        <v>1</v>
      </c>
      <c r="AE6" s="22"/>
      <c r="AF6" s="22">
        <v>7.75</v>
      </c>
      <c r="AG6" s="154" t="s">
        <v>928</v>
      </c>
      <c r="AH6" s="28">
        <f>SUBTOTAL(9,T6:AF6)</f>
        <v>28.75</v>
      </c>
      <c r="AI6" s="155"/>
      <c r="AJ6" s="153"/>
      <c r="AK6" s="153"/>
      <c r="AL6" s="22"/>
      <c r="AM6" s="29"/>
      <c r="AN6" s="156">
        <v>0</v>
      </c>
      <c r="AO6" s="39"/>
      <c r="AP6" s="39"/>
      <c r="AQ6" s="33">
        <v>0</v>
      </c>
      <c r="AR6" s="34">
        <f>+AQ6+AN6+AH6+S6</f>
        <v>48.75</v>
      </c>
      <c r="AS6" s="380">
        <v>0.25</v>
      </c>
      <c r="AT6" s="355">
        <v>34.333333333333336</v>
      </c>
      <c r="AU6" s="356">
        <f t="shared" si="0"/>
        <v>13.333333333333334</v>
      </c>
      <c r="AV6" s="386">
        <v>0</v>
      </c>
      <c r="AW6" s="358">
        <v>0</v>
      </c>
      <c r="AX6" s="356">
        <v>22.333333333333329</v>
      </c>
      <c r="AY6" s="387">
        <f t="shared" si="3"/>
        <v>0.37383177570093462</v>
      </c>
      <c r="AZ6" s="388">
        <f t="shared" si="4"/>
        <v>0.62616822429906538</v>
      </c>
      <c r="BA6" s="287">
        <v>1923777</v>
      </c>
      <c r="BB6" s="287">
        <f t="shared" si="5"/>
        <v>39462.092307692306</v>
      </c>
    </row>
    <row r="7" spans="1:54" ht="15.75" thickBot="1" x14ac:dyDescent="0.3">
      <c r="A7" s="17" t="s">
        <v>929</v>
      </c>
      <c r="B7" s="17" t="s">
        <v>930</v>
      </c>
      <c r="C7" s="97" t="s">
        <v>47</v>
      </c>
      <c r="D7" s="18"/>
      <c r="E7" s="18"/>
      <c r="F7" s="18"/>
      <c r="G7" s="151" t="s">
        <v>609</v>
      </c>
      <c r="H7" s="146" t="s">
        <v>609</v>
      </c>
      <c r="I7" s="151"/>
      <c r="J7" s="152"/>
      <c r="K7" s="148"/>
      <c r="L7" s="394">
        <v>43.5</v>
      </c>
      <c r="M7" s="22">
        <v>18</v>
      </c>
      <c r="N7" s="22"/>
      <c r="O7" s="22"/>
      <c r="P7" s="22"/>
      <c r="Q7" s="22"/>
      <c r="R7" s="23">
        <v>1</v>
      </c>
      <c r="S7" s="24">
        <v>19</v>
      </c>
      <c r="T7" s="38">
        <v>9.5</v>
      </c>
      <c r="U7" s="22">
        <v>4</v>
      </c>
      <c r="V7" s="22">
        <v>3</v>
      </c>
      <c r="W7" s="157">
        <v>2</v>
      </c>
      <c r="X7" s="22"/>
      <c r="Y7" s="22"/>
      <c r="Z7" s="149"/>
      <c r="AA7" s="149"/>
      <c r="AB7" s="22">
        <v>1</v>
      </c>
      <c r="AC7" s="22"/>
      <c r="AD7" s="22"/>
      <c r="AE7" s="22"/>
      <c r="AF7" s="22"/>
      <c r="AG7" s="154"/>
      <c r="AH7" s="28">
        <v>19.5</v>
      </c>
      <c r="AI7" s="38"/>
      <c r="AJ7" s="22">
        <v>5</v>
      </c>
      <c r="AK7" s="22"/>
      <c r="AL7" s="22"/>
      <c r="AM7" s="29"/>
      <c r="AN7" s="30">
        <v>5</v>
      </c>
      <c r="AO7" s="39"/>
      <c r="AP7" s="39"/>
      <c r="AQ7" s="33">
        <v>0</v>
      </c>
      <c r="AR7" s="34">
        <v>43.5</v>
      </c>
      <c r="AS7" s="380">
        <v>0</v>
      </c>
      <c r="AT7" s="355">
        <v>34.31666666666667</v>
      </c>
      <c r="AU7" s="356">
        <f t="shared" si="0"/>
        <v>13.333333333333334</v>
      </c>
      <c r="AV7" s="386">
        <v>3.3333333333333335</v>
      </c>
      <c r="AW7" s="358">
        <v>0</v>
      </c>
      <c r="AX7" s="356">
        <v>18.316666666666666</v>
      </c>
      <c r="AY7" s="387">
        <f t="shared" si="3"/>
        <v>0.42127435492364407</v>
      </c>
      <c r="AZ7" s="388">
        <f t="shared" si="4"/>
        <v>0.57872564507635604</v>
      </c>
      <c r="BA7" s="287">
        <v>1871042</v>
      </c>
      <c r="BB7" s="287">
        <f t="shared" si="5"/>
        <v>43012.45977011494</v>
      </c>
    </row>
    <row r="8" spans="1:54" ht="15.75" thickBot="1" x14ac:dyDescent="0.3">
      <c r="A8" s="17" t="s">
        <v>931</v>
      </c>
      <c r="B8" s="17" t="s">
        <v>932</v>
      </c>
      <c r="C8" s="97" t="s">
        <v>55</v>
      </c>
      <c r="D8" s="18"/>
      <c r="E8" s="18"/>
      <c r="F8" s="18"/>
      <c r="G8" s="151" t="s">
        <v>609</v>
      </c>
      <c r="H8" s="146"/>
      <c r="I8" s="151"/>
      <c r="J8" s="20"/>
      <c r="K8" s="19"/>
      <c r="L8" s="394">
        <v>43.5</v>
      </c>
      <c r="M8" s="22">
        <v>20</v>
      </c>
      <c r="N8" s="22"/>
      <c r="O8" s="22"/>
      <c r="P8" s="22"/>
      <c r="Q8" s="22"/>
      <c r="R8" s="23">
        <v>1</v>
      </c>
      <c r="S8" s="24">
        <v>21</v>
      </c>
      <c r="T8" s="158">
        <v>12.5</v>
      </c>
      <c r="U8" s="22">
        <v>4</v>
      </c>
      <c r="V8" s="22">
        <v>3</v>
      </c>
      <c r="W8" s="157">
        <v>2</v>
      </c>
      <c r="X8" s="22"/>
      <c r="Y8" s="22"/>
      <c r="Z8" s="149"/>
      <c r="AA8" s="149"/>
      <c r="AB8" s="22">
        <v>1</v>
      </c>
      <c r="AC8" s="22">
        <v>0</v>
      </c>
      <c r="AD8" s="22">
        <v>0</v>
      </c>
      <c r="AE8" s="22"/>
      <c r="AF8" s="22"/>
      <c r="AG8" s="154"/>
      <c r="AH8" s="28">
        <v>22.5</v>
      </c>
      <c r="AI8" s="38"/>
      <c r="AJ8" s="22"/>
      <c r="AK8" s="22"/>
      <c r="AL8" s="22"/>
      <c r="AM8" s="29"/>
      <c r="AN8" s="30">
        <v>0</v>
      </c>
      <c r="AO8" s="39"/>
      <c r="AP8" s="39"/>
      <c r="AQ8" s="33">
        <v>0</v>
      </c>
      <c r="AR8" s="34">
        <v>43.5</v>
      </c>
      <c r="AS8" s="380">
        <v>0</v>
      </c>
      <c r="AT8" s="355">
        <v>30.3</v>
      </c>
      <c r="AU8" s="356">
        <f t="shared" si="0"/>
        <v>14.666666666666666</v>
      </c>
      <c r="AV8" s="386">
        <v>0</v>
      </c>
      <c r="AW8" s="358">
        <v>0</v>
      </c>
      <c r="AX8" s="356">
        <v>16.299999999999994</v>
      </c>
      <c r="AY8" s="387">
        <f t="shared" si="3"/>
        <v>0.47362755651237898</v>
      </c>
      <c r="AZ8" s="388">
        <f t="shared" si="4"/>
        <v>0.52637244348762102</v>
      </c>
      <c r="BA8" s="287">
        <v>1814800</v>
      </c>
      <c r="BB8" s="287">
        <f t="shared" si="5"/>
        <v>41719.54022988506</v>
      </c>
    </row>
    <row r="9" spans="1:54" ht="15.75" thickBot="1" x14ac:dyDescent="0.3">
      <c r="A9" s="17" t="s">
        <v>933</v>
      </c>
      <c r="B9" s="17" t="s">
        <v>934</v>
      </c>
      <c r="C9" s="97" t="s">
        <v>114</v>
      </c>
      <c r="D9" s="150"/>
      <c r="E9" s="150"/>
      <c r="F9" s="150"/>
      <c r="G9" s="151" t="s">
        <v>57</v>
      </c>
      <c r="H9" s="146"/>
      <c r="I9" s="151"/>
      <c r="J9" s="152"/>
      <c r="K9" s="148"/>
      <c r="L9" s="393">
        <v>36</v>
      </c>
      <c r="M9" s="22">
        <v>13</v>
      </c>
      <c r="N9" s="153"/>
      <c r="O9" s="153"/>
      <c r="P9" s="153"/>
      <c r="Q9" s="22">
        <v>1</v>
      </c>
      <c r="R9" s="23">
        <v>0</v>
      </c>
      <c r="S9" s="24">
        <f>SUBTOTAL(9,M9:R9)</f>
        <v>14</v>
      </c>
      <c r="T9" s="434">
        <v>6.5</v>
      </c>
      <c r="U9" s="22">
        <v>6.5</v>
      </c>
      <c r="V9" s="22"/>
      <c r="W9" s="157">
        <v>2</v>
      </c>
      <c r="X9" s="153"/>
      <c r="Y9" s="153"/>
      <c r="Z9" s="149"/>
      <c r="AA9" s="149"/>
      <c r="AB9" s="22"/>
      <c r="AC9" s="22"/>
      <c r="AD9" s="22"/>
      <c r="AE9" s="22"/>
      <c r="AF9" s="22">
        <v>7</v>
      </c>
      <c r="AG9" s="154" t="s">
        <v>935</v>
      </c>
      <c r="AH9" s="28">
        <f>SUBTOTAL(9,T9:AF9)</f>
        <v>22</v>
      </c>
      <c r="AI9" s="155"/>
      <c r="AJ9" s="153"/>
      <c r="AK9" s="153"/>
      <c r="AL9" s="22"/>
      <c r="AM9" s="29"/>
      <c r="AN9" s="156">
        <v>0</v>
      </c>
      <c r="AO9" s="39"/>
      <c r="AP9" s="39"/>
      <c r="AQ9" s="33">
        <v>0</v>
      </c>
      <c r="AR9" s="34">
        <f>+AQ9+AN9+AH9+S9</f>
        <v>36</v>
      </c>
      <c r="AS9" s="380">
        <v>0</v>
      </c>
      <c r="AT9" s="355">
        <v>26.333333333333332</v>
      </c>
      <c r="AU9" s="356">
        <f t="shared" si="0"/>
        <v>9.3333333333333339</v>
      </c>
      <c r="AV9" s="386">
        <v>0</v>
      </c>
      <c r="AW9" s="358">
        <v>0</v>
      </c>
      <c r="AX9" s="356">
        <v>16.999999999999993</v>
      </c>
      <c r="AY9" s="387">
        <f t="shared" si="3"/>
        <v>0.35443037974683556</v>
      </c>
      <c r="AZ9" s="388">
        <f t="shared" si="4"/>
        <v>0.64556962025316444</v>
      </c>
      <c r="BA9" s="287">
        <v>1363844</v>
      </c>
      <c r="BB9" s="287">
        <f t="shared" si="5"/>
        <v>37884.555555555555</v>
      </c>
    </row>
    <row r="10" spans="1:54" ht="15.75" thickBot="1" x14ac:dyDescent="0.3">
      <c r="A10" s="17" t="s">
        <v>936</v>
      </c>
      <c r="B10" s="17" t="s">
        <v>937</v>
      </c>
      <c r="C10" s="97" t="s">
        <v>126</v>
      </c>
      <c r="D10" s="18"/>
      <c r="E10" s="18"/>
      <c r="F10" s="97" t="s">
        <v>126</v>
      </c>
      <c r="G10" s="146"/>
      <c r="H10" s="146"/>
      <c r="I10" s="151"/>
      <c r="J10" s="152"/>
      <c r="K10" s="148"/>
      <c r="L10" s="394">
        <v>42</v>
      </c>
      <c r="M10" s="22">
        <v>14</v>
      </c>
      <c r="N10" s="22"/>
      <c r="O10" s="22"/>
      <c r="P10" s="22">
        <v>4</v>
      </c>
      <c r="Q10" s="22"/>
      <c r="R10" s="23"/>
      <c r="S10" s="24">
        <v>18</v>
      </c>
      <c r="T10" s="25">
        <v>5.4</v>
      </c>
      <c r="U10" s="22"/>
      <c r="V10" s="22"/>
      <c r="W10" s="157">
        <v>2</v>
      </c>
      <c r="X10" s="22"/>
      <c r="Y10" s="22">
        <v>15.6</v>
      </c>
      <c r="Z10" s="149"/>
      <c r="AA10" s="149"/>
      <c r="AB10" s="22">
        <v>0</v>
      </c>
      <c r="AC10" s="22">
        <v>1</v>
      </c>
      <c r="AD10" s="22"/>
      <c r="AE10" s="22"/>
      <c r="AF10" s="22"/>
      <c r="AG10" s="154"/>
      <c r="AH10" s="28">
        <v>24</v>
      </c>
      <c r="AI10" s="38"/>
      <c r="AJ10" s="22"/>
      <c r="AK10" s="22"/>
      <c r="AL10" s="22"/>
      <c r="AM10" s="29"/>
      <c r="AN10" s="30">
        <v>0</v>
      </c>
      <c r="AO10" s="39"/>
      <c r="AP10" s="39"/>
      <c r="AQ10" s="33">
        <v>0</v>
      </c>
      <c r="AR10" s="34">
        <v>42</v>
      </c>
      <c r="AS10" s="380">
        <v>0</v>
      </c>
      <c r="AT10" s="355">
        <v>31.38</v>
      </c>
      <c r="AU10" s="356">
        <f t="shared" si="0"/>
        <v>12</v>
      </c>
      <c r="AV10" s="386">
        <v>0</v>
      </c>
      <c r="AW10" s="358">
        <v>0</v>
      </c>
      <c r="AX10" s="356">
        <v>19.379999999999995</v>
      </c>
      <c r="AY10" s="387">
        <f t="shared" si="3"/>
        <v>0.38240917782026773</v>
      </c>
      <c r="AZ10" s="388">
        <f t="shared" si="4"/>
        <v>0.61759082217973227</v>
      </c>
      <c r="BA10" s="287">
        <v>1482855</v>
      </c>
      <c r="BB10" s="287">
        <f t="shared" si="5"/>
        <v>35306.071428571428</v>
      </c>
    </row>
    <row r="11" spans="1:54" ht="15.75" thickBot="1" x14ac:dyDescent="0.3">
      <c r="A11" s="17" t="s">
        <v>938</v>
      </c>
      <c r="B11" s="17" t="s">
        <v>939</v>
      </c>
      <c r="C11" s="97" t="s">
        <v>74</v>
      </c>
      <c r="D11" s="97" t="s">
        <v>55</v>
      </c>
      <c r="E11" s="97"/>
      <c r="F11" s="159" t="s">
        <v>74</v>
      </c>
      <c r="G11" s="146"/>
      <c r="H11" s="146" t="s">
        <v>609</v>
      </c>
      <c r="I11" s="151"/>
      <c r="J11" s="160"/>
      <c r="K11" s="161"/>
      <c r="L11" s="394">
        <v>42.2</v>
      </c>
      <c r="M11" s="22">
        <v>12</v>
      </c>
      <c r="N11" s="22">
        <v>5</v>
      </c>
      <c r="O11" s="22"/>
      <c r="P11" s="162"/>
      <c r="Q11" s="22"/>
      <c r="R11" s="23"/>
      <c r="S11" s="24">
        <v>17</v>
      </c>
      <c r="T11" s="25">
        <v>9</v>
      </c>
      <c r="U11" s="22"/>
      <c r="V11" s="22"/>
      <c r="W11" s="157">
        <v>2</v>
      </c>
      <c r="X11" s="162"/>
      <c r="Y11" s="162"/>
      <c r="Z11" s="149"/>
      <c r="AA11" s="149" t="s">
        <v>57</v>
      </c>
      <c r="AB11" s="22">
        <v>4</v>
      </c>
      <c r="AC11" s="22">
        <v>0</v>
      </c>
      <c r="AD11" s="22">
        <v>0</v>
      </c>
      <c r="AE11" s="22"/>
      <c r="AF11" s="22">
        <v>2.2000000000000002</v>
      </c>
      <c r="AG11" s="154" t="s">
        <v>940</v>
      </c>
      <c r="AH11" s="28">
        <v>17.2</v>
      </c>
      <c r="AI11" s="163"/>
      <c r="AJ11" s="22">
        <v>8</v>
      </c>
      <c r="AK11" s="162"/>
      <c r="AL11" s="22"/>
      <c r="AM11" s="29"/>
      <c r="AN11" s="164">
        <v>8</v>
      </c>
      <c r="AO11" s="39"/>
      <c r="AP11" s="39"/>
      <c r="AQ11" s="33">
        <v>0</v>
      </c>
      <c r="AR11" s="34">
        <v>42.2</v>
      </c>
      <c r="AS11" s="380">
        <v>0</v>
      </c>
      <c r="AT11" s="355">
        <v>27.2</v>
      </c>
      <c r="AU11" s="356">
        <f t="shared" si="0"/>
        <v>14</v>
      </c>
      <c r="AV11" s="386">
        <v>5.333333333333333</v>
      </c>
      <c r="AW11" s="358">
        <v>0</v>
      </c>
      <c r="AX11" s="356">
        <v>10.533333333333328</v>
      </c>
      <c r="AY11" s="387">
        <f t="shared" si="3"/>
        <v>0.57065217391304357</v>
      </c>
      <c r="AZ11" s="388">
        <f t="shared" si="4"/>
        <v>0.42934782608695637</v>
      </c>
      <c r="BA11" s="287">
        <v>2657116</v>
      </c>
      <c r="BB11" s="287">
        <f t="shared" si="5"/>
        <v>62964.834123222747</v>
      </c>
    </row>
    <row r="12" spans="1:54" ht="15.75" thickBot="1" x14ac:dyDescent="0.3">
      <c r="A12" s="17" t="s">
        <v>941</v>
      </c>
      <c r="B12" s="17" t="s">
        <v>942</v>
      </c>
      <c r="C12" s="97" t="s">
        <v>64</v>
      </c>
      <c r="D12" s="150"/>
      <c r="E12" s="150"/>
      <c r="F12" s="150"/>
      <c r="G12" s="151" t="s">
        <v>57</v>
      </c>
      <c r="H12" s="146"/>
      <c r="I12" s="151"/>
      <c r="J12" s="152"/>
      <c r="K12" s="148"/>
      <c r="L12" s="393">
        <v>36</v>
      </c>
      <c r="M12" s="22">
        <v>14</v>
      </c>
      <c r="N12" s="153"/>
      <c r="O12" s="153"/>
      <c r="P12" s="153"/>
      <c r="Q12" s="22">
        <v>1</v>
      </c>
      <c r="R12" s="23">
        <v>0</v>
      </c>
      <c r="S12" s="24">
        <f>SUBTOTAL(9,M12:R12)</f>
        <v>15</v>
      </c>
      <c r="T12" s="433">
        <v>7</v>
      </c>
      <c r="U12" s="22">
        <v>6.5</v>
      </c>
      <c r="V12" s="22"/>
      <c r="W12" s="157">
        <v>2</v>
      </c>
      <c r="X12" s="153"/>
      <c r="Y12" s="153"/>
      <c r="Z12" s="149"/>
      <c r="AA12" s="149"/>
      <c r="AB12" s="22"/>
      <c r="AC12" s="22"/>
      <c r="AD12" s="22"/>
      <c r="AE12" s="22"/>
      <c r="AF12" s="22">
        <v>5.5</v>
      </c>
      <c r="AG12" s="154" t="s">
        <v>928</v>
      </c>
      <c r="AH12" s="28">
        <f>SUBTOTAL(9,T12:AF12)</f>
        <v>21</v>
      </c>
      <c r="AI12" s="155"/>
      <c r="AJ12" s="153"/>
      <c r="AK12" s="153"/>
      <c r="AL12" s="22"/>
      <c r="AM12" s="29"/>
      <c r="AN12" s="156">
        <v>0</v>
      </c>
      <c r="AO12" s="39"/>
      <c r="AP12" s="39"/>
      <c r="AQ12" s="33">
        <v>0</v>
      </c>
      <c r="AR12" s="34">
        <f>+AQ12+AN12+AH12+S12</f>
        <v>36</v>
      </c>
      <c r="AS12" s="380">
        <v>0</v>
      </c>
      <c r="AT12" s="355">
        <v>30.216666666666665</v>
      </c>
      <c r="AU12" s="356">
        <f t="shared" si="0"/>
        <v>10</v>
      </c>
      <c r="AV12" s="386">
        <v>0</v>
      </c>
      <c r="AW12" s="358">
        <v>0</v>
      </c>
      <c r="AX12" s="356">
        <v>20.216666666666661</v>
      </c>
      <c r="AY12" s="387">
        <f t="shared" si="3"/>
        <v>0.33094318808604528</v>
      </c>
      <c r="AZ12" s="388">
        <f t="shared" si="4"/>
        <v>0.66905681191395472</v>
      </c>
      <c r="BA12" s="287">
        <v>1107000</v>
      </c>
      <c r="BB12" s="287">
        <f t="shared" si="5"/>
        <v>30750</v>
      </c>
    </row>
    <row r="13" spans="1:54" ht="15.75" thickBot="1" x14ac:dyDescent="0.3">
      <c r="A13" s="17" t="s">
        <v>943</v>
      </c>
      <c r="B13" s="17" t="s">
        <v>944</v>
      </c>
      <c r="C13" s="97" t="s">
        <v>55</v>
      </c>
      <c r="D13" s="18"/>
      <c r="E13" s="18"/>
      <c r="F13" s="18"/>
      <c r="G13" s="146" t="s">
        <v>609</v>
      </c>
      <c r="H13" s="146"/>
      <c r="I13" s="151"/>
      <c r="J13" s="152"/>
      <c r="K13" s="148"/>
      <c r="L13" s="394">
        <v>30.7</v>
      </c>
      <c r="M13" s="22">
        <v>12</v>
      </c>
      <c r="N13" s="22"/>
      <c r="O13" s="22"/>
      <c r="P13" s="22"/>
      <c r="Q13" s="22"/>
      <c r="R13" s="23">
        <v>1</v>
      </c>
      <c r="S13" s="24">
        <v>13</v>
      </c>
      <c r="T13" s="25">
        <v>7.6999999999999993</v>
      </c>
      <c r="U13" s="22">
        <v>4</v>
      </c>
      <c r="V13" s="22">
        <v>3</v>
      </c>
      <c r="W13" s="157">
        <v>2</v>
      </c>
      <c r="X13" s="22"/>
      <c r="Y13" s="22"/>
      <c r="Z13" s="149"/>
      <c r="AA13" s="149"/>
      <c r="AB13" s="22">
        <v>1</v>
      </c>
      <c r="AC13" s="22">
        <v>0</v>
      </c>
      <c r="AD13" s="22">
        <v>0</v>
      </c>
      <c r="AE13" s="22"/>
      <c r="AF13" s="22"/>
      <c r="AG13" s="154"/>
      <c r="AH13" s="28">
        <v>17.7</v>
      </c>
      <c r="AI13" s="38"/>
      <c r="AJ13" s="22"/>
      <c r="AK13" s="22"/>
      <c r="AL13" s="22"/>
      <c r="AM13" s="29"/>
      <c r="AN13" s="30">
        <v>0</v>
      </c>
      <c r="AO13" s="39"/>
      <c r="AP13" s="39"/>
      <c r="AQ13" s="33">
        <v>0</v>
      </c>
      <c r="AR13" s="34">
        <v>30.7</v>
      </c>
      <c r="AS13" s="380">
        <v>0</v>
      </c>
      <c r="AT13" s="355">
        <v>45.266666666666666</v>
      </c>
      <c r="AU13" s="356">
        <f t="shared" si="0"/>
        <v>9.3333333333333339</v>
      </c>
      <c r="AV13" s="386">
        <v>0</v>
      </c>
      <c r="AW13" s="358">
        <v>0</v>
      </c>
      <c r="AX13" s="356">
        <v>36.599999999999994</v>
      </c>
      <c r="AY13" s="387">
        <f t="shared" si="3"/>
        <v>0.20319303338171266</v>
      </c>
      <c r="AZ13" s="388">
        <f t="shared" si="4"/>
        <v>0.79680696661828732</v>
      </c>
      <c r="BA13" s="287">
        <v>1022694</v>
      </c>
      <c r="BB13" s="287">
        <f t="shared" si="5"/>
        <v>33312.508143322477</v>
      </c>
    </row>
    <row r="14" spans="1:54" ht="15.75" thickBot="1" x14ac:dyDescent="0.3">
      <c r="A14" s="17" t="s">
        <v>945</v>
      </c>
      <c r="B14" s="17" t="s">
        <v>946</v>
      </c>
      <c r="C14" s="97" t="s">
        <v>99</v>
      </c>
      <c r="D14" s="18"/>
      <c r="E14" s="18"/>
      <c r="F14" s="97" t="s">
        <v>99</v>
      </c>
      <c r="G14" s="146"/>
      <c r="H14" s="146"/>
      <c r="I14" s="151"/>
      <c r="J14" s="152"/>
      <c r="K14" s="148"/>
      <c r="L14" s="394">
        <v>18</v>
      </c>
      <c r="M14" s="22">
        <v>8</v>
      </c>
      <c r="N14" s="22"/>
      <c r="O14" s="22"/>
      <c r="P14" s="22">
        <v>2</v>
      </c>
      <c r="Q14" s="22"/>
      <c r="R14" s="23"/>
      <c r="S14" s="24">
        <v>10</v>
      </c>
      <c r="T14" s="25">
        <v>3</v>
      </c>
      <c r="U14" s="22"/>
      <c r="V14" s="22"/>
      <c r="W14" s="157">
        <v>2</v>
      </c>
      <c r="X14" s="22"/>
      <c r="Y14" s="22"/>
      <c r="Z14" s="149"/>
      <c r="AA14" s="149"/>
      <c r="AB14" s="22">
        <v>2</v>
      </c>
      <c r="AC14" s="22">
        <v>1</v>
      </c>
      <c r="AD14" s="22">
        <v>0</v>
      </c>
      <c r="AE14" s="22"/>
      <c r="AF14" s="22"/>
      <c r="AG14" s="154"/>
      <c r="AH14" s="28">
        <v>8</v>
      </c>
      <c r="AI14" s="38"/>
      <c r="AJ14" s="22"/>
      <c r="AK14" s="22"/>
      <c r="AL14" s="22"/>
      <c r="AM14" s="29"/>
      <c r="AN14" s="30">
        <v>0</v>
      </c>
      <c r="AO14" s="39"/>
      <c r="AP14" s="39"/>
      <c r="AQ14" s="33">
        <v>0</v>
      </c>
      <c r="AR14" s="34">
        <v>18</v>
      </c>
      <c r="AS14" s="380">
        <v>0</v>
      </c>
      <c r="AT14" s="355">
        <v>14.15</v>
      </c>
      <c r="AU14" s="356">
        <f t="shared" si="0"/>
        <v>8</v>
      </c>
      <c r="AV14" s="386">
        <v>0</v>
      </c>
      <c r="AW14" s="358">
        <v>0</v>
      </c>
      <c r="AX14" s="356">
        <v>7.4833333333333307</v>
      </c>
      <c r="AY14" s="387">
        <f t="shared" si="3"/>
        <v>0.51668460710441344</v>
      </c>
      <c r="AZ14" s="388">
        <f t="shared" si="4"/>
        <v>0.48331539289558656</v>
      </c>
      <c r="BA14" s="287">
        <v>767710</v>
      </c>
      <c r="BB14" s="287">
        <f t="shared" si="5"/>
        <v>42650.555555555555</v>
      </c>
    </row>
    <row r="15" spans="1:54" ht="15.75" thickBot="1" x14ac:dyDescent="0.3">
      <c r="A15" s="17" t="s">
        <v>947</v>
      </c>
      <c r="B15" s="17" t="s">
        <v>948</v>
      </c>
      <c r="C15" s="97" t="s">
        <v>109</v>
      </c>
      <c r="D15" s="18"/>
      <c r="E15" s="18"/>
      <c r="F15" s="18"/>
      <c r="G15" s="151" t="s">
        <v>609</v>
      </c>
      <c r="H15" s="146"/>
      <c r="I15" s="151"/>
      <c r="J15" s="152"/>
      <c r="K15" s="148"/>
      <c r="L15" s="394">
        <v>39.5</v>
      </c>
      <c r="M15" s="22">
        <v>18</v>
      </c>
      <c r="N15" s="22"/>
      <c r="O15" s="22"/>
      <c r="P15" s="22"/>
      <c r="Q15" s="22"/>
      <c r="R15" s="23">
        <v>1</v>
      </c>
      <c r="S15" s="24">
        <v>19</v>
      </c>
      <c r="T15" s="25">
        <v>9.5</v>
      </c>
      <c r="U15" s="22">
        <v>4</v>
      </c>
      <c r="V15" s="22">
        <v>3</v>
      </c>
      <c r="W15" s="157">
        <v>2</v>
      </c>
      <c r="X15" s="22"/>
      <c r="Y15" s="22"/>
      <c r="Z15" s="149"/>
      <c r="AA15" s="149" t="s">
        <v>57</v>
      </c>
      <c r="AB15" s="22">
        <v>2</v>
      </c>
      <c r="AC15" s="22">
        <v>0</v>
      </c>
      <c r="AD15" s="22">
        <v>0</v>
      </c>
      <c r="AE15" s="22"/>
      <c r="AF15" s="22"/>
      <c r="AG15" s="154"/>
      <c r="AH15" s="28">
        <v>20.5</v>
      </c>
      <c r="AI15" s="38"/>
      <c r="AJ15" s="22"/>
      <c r="AK15" s="22"/>
      <c r="AL15" s="22"/>
      <c r="AM15" s="29"/>
      <c r="AN15" s="30">
        <v>0</v>
      </c>
      <c r="AO15" s="39"/>
      <c r="AP15" s="39"/>
      <c r="AQ15" s="33">
        <v>0</v>
      </c>
      <c r="AR15" s="34">
        <v>39.5</v>
      </c>
      <c r="AS15" s="380">
        <v>0</v>
      </c>
      <c r="AT15" s="355">
        <v>28.3</v>
      </c>
      <c r="AU15" s="356">
        <f t="shared" si="0"/>
        <v>14</v>
      </c>
      <c r="AV15" s="386">
        <v>0</v>
      </c>
      <c r="AW15" s="358">
        <v>0</v>
      </c>
      <c r="AX15" s="356">
        <v>15.633333333333329</v>
      </c>
      <c r="AY15" s="387">
        <f t="shared" si="3"/>
        <v>0.47244094488188981</v>
      </c>
      <c r="AZ15" s="388">
        <f t="shared" si="4"/>
        <v>0.52755905511811019</v>
      </c>
      <c r="BA15" s="287">
        <v>1295600</v>
      </c>
      <c r="BB15" s="287">
        <f t="shared" si="5"/>
        <v>32800</v>
      </c>
    </row>
    <row r="16" spans="1:54" ht="15.75" thickBot="1" x14ac:dyDescent="0.3">
      <c r="A16" s="17" t="s">
        <v>949</v>
      </c>
      <c r="B16" s="17" t="s">
        <v>950</v>
      </c>
      <c r="C16" s="97" t="s">
        <v>64</v>
      </c>
      <c r="D16" s="150"/>
      <c r="E16" s="150"/>
      <c r="F16" s="150"/>
      <c r="G16" s="151" t="s">
        <v>57</v>
      </c>
      <c r="H16" s="146"/>
      <c r="I16" s="151"/>
      <c r="J16" s="152"/>
      <c r="K16" s="148"/>
      <c r="L16" s="393">
        <v>48.75</v>
      </c>
      <c r="M16" s="22">
        <v>17</v>
      </c>
      <c r="N16" s="153"/>
      <c r="O16" s="153"/>
      <c r="P16" s="22"/>
      <c r="Q16" s="22">
        <v>2</v>
      </c>
      <c r="R16" s="23">
        <v>1</v>
      </c>
      <c r="S16" s="24">
        <f>SUBTOTAL(9,M16:R16)</f>
        <v>20</v>
      </c>
      <c r="T16" s="433">
        <v>8.5</v>
      </c>
      <c r="U16" s="22">
        <v>6.5</v>
      </c>
      <c r="V16" s="22"/>
      <c r="W16" s="157">
        <v>2</v>
      </c>
      <c r="X16" s="153"/>
      <c r="Y16" s="153"/>
      <c r="Z16" s="149"/>
      <c r="AA16" s="149"/>
      <c r="AB16" s="22"/>
      <c r="AC16" s="22">
        <v>3</v>
      </c>
      <c r="AD16" s="22">
        <v>1</v>
      </c>
      <c r="AE16" s="22"/>
      <c r="AF16" s="22">
        <v>7.75</v>
      </c>
      <c r="AG16" s="154" t="s">
        <v>928</v>
      </c>
      <c r="AH16" s="28">
        <f>SUBTOTAL(9,T16:AF16)</f>
        <v>28.75</v>
      </c>
      <c r="AI16" s="155"/>
      <c r="AJ16" s="153"/>
      <c r="AK16" s="153"/>
      <c r="AL16" s="22"/>
      <c r="AM16" s="29"/>
      <c r="AN16" s="156">
        <v>0</v>
      </c>
      <c r="AO16" s="39"/>
      <c r="AP16" s="39"/>
      <c r="AQ16" s="33">
        <v>0</v>
      </c>
      <c r="AR16" s="34">
        <f>+AQ16+AN16+AH16+S16</f>
        <v>48.75</v>
      </c>
      <c r="AS16" s="380">
        <v>0.20000000000000284</v>
      </c>
      <c r="AT16" s="355">
        <v>34.25</v>
      </c>
      <c r="AU16" s="356">
        <f t="shared" si="0"/>
        <v>13.333333333333334</v>
      </c>
      <c r="AV16" s="386">
        <v>0</v>
      </c>
      <c r="AW16" s="358">
        <v>0</v>
      </c>
      <c r="AX16" s="356">
        <v>22.249999999999993</v>
      </c>
      <c r="AY16" s="387">
        <f t="shared" si="3"/>
        <v>0.37470725995316168</v>
      </c>
      <c r="AZ16" s="388">
        <f t="shared" si="4"/>
        <v>0.62529274004683832</v>
      </c>
      <c r="BA16" s="287">
        <v>2127775</v>
      </c>
      <c r="BB16" s="287">
        <f t="shared" si="5"/>
        <v>43646.666666666664</v>
      </c>
    </row>
    <row r="17" spans="1:54" ht="15.75" thickBot="1" x14ac:dyDescent="0.3">
      <c r="A17" s="17" t="s">
        <v>951</v>
      </c>
      <c r="B17" s="17" t="s">
        <v>952</v>
      </c>
      <c r="C17" s="97" t="s">
        <v>126</v>
      </c>
      <c r="D17" s="18"/>
      <c r="E17" s="18"/>
      <c r="F17" s="18"/>
      <c r="G17" s="146"/>
      <c r="H17" s="146"/>
      <c r="I17" s="151"/>
      <c r="J17" s="20"/>
      <c r="K17" s="19"/>
      <c r="L17" s="393">
        <v>32.9</v>
      </c>
      <c r="M17" s="22">
        <v>14</v>
      </c>
      <c r="N17" s="22"/>
      <c r="O17" s="22"/>
      <c r="P17" s="22"/>
      <c r="Q17" s="22"/>
      <c r="R17" s="23"/>
      <c r="S17" s="24">
        <v>14</v>
      </c>
      <c r="T17" s="25">
        <v>4.2</v>
      </c>
      <c r="U17" s="22"/>
      <c r="V17" s="22"/>
      <c r="W17" s="157">
        <v>2</v>
      </c>
      <c r="X17" s="22"/>
      <c r="Y17" s="22">
        <v>11.7</v>
      </c>
      <c r="Z17" s="149"/>
      <c r="AA17" s="149"/>
      <c r="AB17" s="22"/>
      <c r="AC17" s="22"/>
      <c r="AD17" s="22">
        <v>1</v>
      </c>
      <c r="AE17" s="22"/>
      <c r="AF17" s="22"/>
      <c r="AG17" s="154"/>
      <c r="AH17" s="28">
        <v>18.899999999999999</v>
      </c>
      <c r="AI17" s="38"/>
      <c r="AJ17" s="22"/>
      <c r="AK17" s="22"/>
      <c r="AL17" s="22"/>
      <c r="AM17" s="29"/>
      <c r="AN17" s="30">
        <v>0</v>
      </c>
      <c r="AO17" s="39"/>
      <c r="AP17" s="39"/>
      <c r="AQ17" s="33">
        <v>0</v>
      </c>
      <c r="AR17" s="34">
        <v>32.9</v>
      </c>
      <c r="AS17" s="380">
        <v>0</v>
      </c>
      <c r="AT17" s="355">
        <v>23.383333333333333</v>
      </c>
      <c r="AU17" s="356">
        <f t="shared" si="0"/>
        <v>9.3333333333333339</v>
      </c>
      <c r="AV17" s="386">
        <v>0</v>
      </c>
      <c r="AW17" s="358">
        <v>0</v>
      </c>
      <c r="AX17" s="356">
        <v>14.049999999999995</v>
      </c>
      <c r="AY17" s="387">
        <f t="shared" si="3"/>
        <v>0.39914468995010699</v>
      </c>
      <c r="AZ17" s="388">
        <f t="shared" si="4"/>
        <v>0.60085531004989301</v>
      </c>
      <c r="BA17" s="287">
        <v>1597808</v>
      </c>
      <c r="BB17" s="287">
        <f t="shared" si="5"/>
        <v>48565.592705167175</v>
      </c>
    </row>
    <row r="18" spans="1:54" ht="15.75" thickBot="1" x14ac:dyDescent="0.3">
      <c r="A18" s="17" t="s">
        <v>953</v>
      </c>
      <c r="B18" s="17" t="s">
        <v>954</v>
      </c>
      <c r="C18" s="97" t="s">
        <v>61</v>
      </c>
      <c r="D18" s="150"/>
      <c r="E18" s="150"/>
      <c r="F18" s="97" t="s">
        <v>61</v>
      </c>
      <c r="G18" s="151" t="s">
        <v>609</v>
      </c>
      <c r="H18" s="146"/>
      <c r="I18" s="151"/>
      <c r="J18" s="152"/>
      <c r="K18" s="148"/>
      <c r="L18" s="394">
        <v>49.5</v>
      </c>
      <c r="M18" s="22">
        <v>20</v>
      </c>
      <c r="N18" s="153"/>
      <c r="O18" s="153"/>
      <c r="P18" s="22">
        <v>4</v>
      </c>
      <c r="Q18" s="22"/>
      <c r="R18" s="23">
        <v>1</v>
      </c>
      <c r="S18" s="24">
        <v>25</v>
      </c>
      <c r="T18" s="165">
        <v>11.5</v>
      </c>
      <c r="U18" s="22">
        <v>4</v>
      </c>
      <c r="V18" s="22">
        <v>3</v>
      </c>
      <c r="W18" s="157">
        <v>2</v>
      </c>
      <c r="X18" s="153"/>
      <c r="Y18" s="153"/>
      <c r="Z18" s="149"/>
      <c r="AA18" s="149"/>
      <c r="AB18" s="22">
        <v>3</v>
      </c>
      <c r="AC18" s="22">
        <v>1</v>
      </c>
      <c r="AD18" s="22">
        <v>0</v>
      </c>
      <c r="AE18" s="22"/>
      <c r="AF18" s="22"/>
      <c r="AG18" s="154"/>
      <c r="AH18" s="28">
        <v>24.5</v>
      </c>
      <c r="AI18" s="155"/>
      <c r="AJ18" s="153"/>
      <c r="AK18" s="153"/>
      <c r="AL18" s="22"/>
      <c r="AM18" s="29"/>
      <c r="AN18" s="156">
        <v>0</v>
      </c>
      <c r="AO18" s="39"/>
      <c r="AP18" s="39"/>
      <c r="AQ18" s="33">
        <v>0</v>
      </c>
      <c r="AR18" s="34">
        <v>49.5</v>
      </c>
      <c r="AS18" s="380">
        <v>0</v>
      </c>
      <c r="AT18" s="355">
        <v>33.333333333333336</v>
      </c>
      <c r="AU18" s="356">
        <f t="shared" si="0"/>
        <v>18.666666666666668</v>
      </c>
      <c r="AV18" s="386">
        <v>0</v>
      </c>
      <c r="AW18" s="358">
        <v>0</v>
      </c>
      <c r="AX18" s="356">
        <v>16.666666666666661</v>
      </c>
      <c r="AY18" s="387">
        <f t="shared" si="3"/>
        <v>0.52830188679245293</v>
      </c>
      <c r="AZ18" s="388">
        <f t="shared" si="4"/>
        <v>0.47169811320754707</v>
      </c>
      <c r="BA18" s="287">
        <v>2319260</v>
      </c>
      <c r="BB18" s="287">
        <f t="shared" si="5"/>
        <v>46853.737373737371</v>
      </c>
    </row>
    <row r="19" spans="1:54" ht="15.75" thickBot="1" x14ac:dyDescent="0.3">
      <c r="A19" s="17" t="s">
        <v>955</v>
      </c>
      <c r="B19" s="17" t="s">
        <v>956</v>
      </c>
      <c r="C19" s="97" t="s">
        <v>109</v>
      </c>
      <c r="D19" s="18"/>
      <c r="E19" s="18"/>
      <c r="F19" s="97" t="s">
        <v>109</v>
      </c>
      <c r="G19" s="151" t="s">
        <v>609</v>
      </c>
      <c r="H19" s="146"/>
      <c r="I19" s="151"/>
      <c r="J19" s="20"/>
      <c r="K19" s="19"/>
      <c r="L19" s="394">
        <v>50.5</v>
      </c>
      <c r="M19" s="22">
        <v>21</v>
      </c>
      <c r="N19" s="22"/>
      <c r="O19" s="22"/>
      <c r="P19" s="22">
        <v>4</v>
      </c>
      <c r="Q19" s="22"/>
      <c r="R19" s="23">
        <v>1</v>
      </c>
      <c r="S19" s="24">
        <v>26</v>
      </c>
      <c r="T19" s="165">
        <v>13</v>
      </c>
      <c r="U19" s="22">
        <v>4</v>
      </c>
      <c r="V19" s="22">
        <v>3</v>
      </c>
      <c r="W19" s="157">
        <v>2</v>
      </c>
      <c r="X19" s="22"/>
      <c r="Y19" s="22"/>
      <c r="Z19" s="149"/>
      <c r="AA19" s="149"/>
      <c r="AB19" s="22">
        <v>2</v>
      </c>
      <c r="AC19" s="22">
        <v>0</v>
      </c>
      <c r="AD19" s="22">
        <v>0.5</v>
      </c>
      <c r="AE19" s="22"/>
      <c r="AF19" s="22"/>
      <c r="AG19" s="154"/>
      <c r="AH19" s="28">
        <v>24.5</v>
      </c>
      <c r="AI19" s="38"/>
      <c r="AJ19" s="22"/>
      <c r="AK19" s="22"/>
      <c r="AL19" s="22"/>
      <c r="AM19" s="29"/>
      <c r="AN19" s="30">
        <v>0</v>
      </c>
      <c r="AO19" s="39"/>
      <c r="AP19" s="39"/>
      <c r="AQ19" s="33">
        <v>0</v>
      </c>
      <c r="AR19" s="34">
        <v>50.5</v>
      </c>
      <c r="AS19" s="380">
        <v>0</v>
      </c>
      <c r="AT19" s="355">
        <v>33.4</v>
      </c>
      <c r="AU19" s="356">
        <f t="shared" si="0"/>
        <v>18.666666666666668</v>
      </c>
      <c r="AV19" s="386">
        <v>0</v>
      </c>
      <c r="AW19" s="358">
        <v>0</v>
      </c>
      <c r="AX19" s="356">
        <v>16.066666666666656</v>
      </c>
      <c r="AY19" s="387">
        <f t="shared" si="3"/>
        <v>0.53742802303262982</v>
      </c>
      <c r="AZ19" s="388">
        <f t="shared" si="4"/>
        <v>0.46257197696737029</v>
      </c>
      <c r="BA19" s="287">
        <v>2454557</v>
      </c>
      <c r="BB19" s="287">
        <f t="shared" si="5"/>
        <v>48605.089108910892</v>
      </c>
    </row>
    <row r="20" spans="1:54" ht="15.75" thickBot="1" x14ac:dyDescent="0.3">
      <c r="A20" s="17" t="s">
        <v>957</v>
      </c>
      <c r="B20" s="17" t="s">
        <v>958</v>
      </c>
      <c r="C20" s="97" t="s">
        <v>114</v>
      </c>
      <c r="D20" s="150"/>
      <c r="E20" s="150"/>
      <c r="F20" s="150"/>
      <c r="G20" s="151" t="s">
        <v>57</v>
      </c>
      <c r="H20" s="146"/>
      <c r="I20" s="151"/>
      <c r="J20" s="152"/>
      <c r="K20" s="148"/>
      <c r="L20" s="393">
        <v>48.75</v>
      </c>
      <c r="M20" s="22">
        <v>23</v>
      </c>
      <c r="N20" s="153"/>
      <c r="O20" s="153"/>
      <c r="P20" s="22"/>
      <c r="Q20" s="22">
        <v>2</v>
      </c>
      <c r="R20" s="23">
        <v>1</v>
      </c>
      <c r="S20" s="24">
        <f>SUBTOTAL(9,M20:R20)</f>
        <v>26</v>
      </c>
      <c r="T20" s="434">
        <v>11.5</v>
      </c>
      <c r="U20" s="22">
        <v>6.5</v>
      </c>
      <c r="V20" s="22"/>
      <c r="W20" s="157">
        <v>2</v>
      </c>
      <c r="X20" s="153"/>
      <c r="Y20" s="153"/>
      <c r="Z20" s="149"/>
      <c r="AA20" s="149"/>
      <c r="AB20" s="22"/>
      <c r="AC20" s="22">
        <v>1</v>
      </c>
      <c r="AD20" s="22">
        <v>1</v>
      </c>
      <c r="AE20" s="22"/>
      <c r="AF20" s="22">
        <v>0.75</v>
      </c>
      <c r="AG20" s="154" t="s">
        <v>928</v>
      </c>
      <c r="AH20" s="28">
        <f>SUBTOTAL(9,T20:AF20)</f>
        <v>22.75</v>
      </c>
      <c r="AI20" s="155"/>
      <c r="AJ20" s="153"/>
      <c r="AK20" s="153"/>
      <c r="AL20" s="22"/>
      <c r="AM20" s="29"/>
      <c r="AN20" s="156">
        <v>0</v>
      </c>
      <c r="AO20" s="39"/>
      <c r="AP20" s="39"/>
      <c r="AQ20" s="33">
        <v>0</v>
      </c>
      <c r="AR20" s="34">
        <f>+AQ20+AN20+AH20+S20</f>
        <v>48.75</v>
      </c>
      <c r="AS20" s="380">
        <v>0.20000000000000284</v>
      </c>
      <c r="AT20" s="355">
        <v>34.383333333333333</v>
      </c>
      <c r="AU20" s="356">
        <f t="shared" si="0"/>
        <v>17.333333333333332</v>
      </c>
      <c r="AV20" s="386">
        <v>0</v>
      </c>
      <c r="AW20" s="358">
        <v>0</v>
      </c>
      <c r="AX20" s="356">
        <v>18.383333333333326</v>
      </c>
      <c r="AY20" s="387">
        <f t="shared" si="3"/>
        <v>0.48530097993467114</v>
      </c>
      <c r="AZ20" s="388">
        <f t="shared" si="4"/>
        <v>0.51469902006532897</v>
      </c>
      <c r="BA20" s="287">
        <v>1559449</v>
      </c>
      <c r="BB20" s="287">
        <f t="shared" si="5"/>
        <v>31988.697435897437</v>
      </c>
    </row>
    <row r="21" spans="1:54" ht="15.75" thickBot="1" x14ac:dyDescent="0.3">
      <c r="A21" s="17" t="s">
        <v>959</v>
      </c>
      <c r="B21" s="17" t="s">
        <v>960</v>
      </c>
      <c r="C21" s="97" t="s">
        <v>180</v>
      </c>
      <c r="D21" s="150"/>
      <c r="E21" s="150"/>
      <c r="F21" s="97" t="s">
        <v>180</v>
      </c>
      <c r="G21" s="151" t="s">
        <v>609</v>
      </c>
      <c r="H21" s="146" t="s">
        <v>609</v>
      </c>
      <c r="I21" s="151"/>
      <c r="J21" s="152"/>
      <c r="K21" s="148"/>
      <c r="L21" s="394">
        <v>41</v>
      </c>
      <c r="M21" s="22">
        <v>10</v>
      </c>
      <c r="N21" s="153"/>
      <c r="O21" s="153"/>
      <c r="P21" s="22">
        <v>2</v>
      </c>
      <c r="Q21" s="22"/>
      <c r="R21" s="23">
        <v>1</v>
      </c>
      <c r="S21" s="24">
        <v>13</v>
      </c>
      <c r="T21" s="167">
        <v>3.8</v>
      </c>
      <c r="U21" s="22">
        <v>4</v>
      </c>
      <c r="V21" s="22">
        <v>3</v>
      </c>
      <c r="W21" s="157">
        <v>2</v>
      </c>
      <c r="X21" s="153"/>
      <c r="Y21" s="162">
        <v>6</v>
      </c>
      <c r="Z21" s="149"/>
      <c r="AA21" s="149"/>
      <c r="AB21" s="22">
        <v>1</v>
      </c>
      <c r="AC21" s="22">
        <v>1</v>
      </c>
      <c r="AD21" s="22">
        <v>1.5</v>
      </c>
      <c r="AE21" s="22"/>
      <c r="AF21" s="22">
        <v>1</v>
      </c>
      <c r="AG21" s="154" t="s">
        <v>961</v>
      </c>
      <c r="AH21" s="28">
        <v>23.3</v>
      </c>
      <c r="AI21" s="155"/>
      <c r="AJ21" s="22">
        <v>5</v>
      </c>
      <c r="AK21" s="153"/>
      <c r="AL21" s="22"/>
      <c r="AM21" s="29"/>
      <c r="AN21" s="156">
        <v>5</v>
      </c>
      <c r="AO21" s="39"/>
      <c r="AP21" s="39"/>
      <c r="AQ21" s="33">
        <v>0</v>
      </c>
      <c r="AR21" s="34">
        <v>41.3</v>
      </c>
      <c r="AS21" s="380">
        <v>-0.29999999999999716</v>
      </c>
      <c r="AT21" s="355">
        <v>43.3</v>
      </c>
      <c r="AU21" s="356">
        <f t="shared" si="0"/>
        <v>9.3333333333333339</v>
      </c>
      <c r="AV21" s="386">
        <v>3.3333333333333335</v>
      </c>
      <c r="AW21" s="358">
        <v>0</v>
      </c>
      <c r="AX21" s="356">
        <v>31.299999999999994</v>
      </c>
      <c r="AY21" s="387">
        <f t="shared" si="3"/>
        <v>0.22969647251845782</v>
      </c>
      <c r="AZ21" s="388">
        <f t="shared" si="4"/>
        <v>0.77030352748154218</v>
      </c>
      <c r="BA21" s="287">
        <v>1741141</v>
      </c>
      <c r="BB21" s="287">
        <f t="shared" si="5"/>
        <v>42466.853658536587</v>
      </c>
    </row>
    <row r="22" spans="1:54" ht="15.75" thickBot="1" x14ac:dyDescent="0.3">
      <c r="A22" s="17" t="s">
        <v>962</v>
      </c>
      <c r="B22" s="17" t="s">
        <v>963</v>
      </c>
      <c r="C22" s="97" t="s">
        <v>126</v>
      </c>
      <c r="D22" s="18"/>
      <c r="E22" s="18"/>
      <c r="F22" s="97" t="s">
        <v>126</v>
      </c>
      <c r="G22" s="146"/>
      <c r="H22" s="146"/>
      <c r="I22" s="151"/>
      <c r="J22" s="152"/>
      <c r="K22" s="148"/>
      <c r="L22" s="393">
        <v>41</v>
      </c>
      <c r="M22" s="22">
        <v>16</v>
      </c>
      <c r="N22" s="22"/>
      <c r="O22" s="22"/>
      <c r="P22" s="22">
        <v>2</v>
      </c>
      <c r="Q22" s="22"/>
      <c r="R22" s="23"/>
      <c r="S22" s="24">
        <v>18</v>
      </c>
      <c r="T22" s="25">
        <v>5.3999999999999995</v>
      </c>
      <c r="U22" s="22"/>
      <c r="V22" s="22"/>
      <c r="W22" s="157">
        <v>2</v>
      </c>
      <c r="X22" s="22"/>
      <c r="Y22" s="22">
        <v>15.6</v>
      </c>
      <c r="Z22" s="149"/>
      <c r="AA22" s="149"/>
      <c r="AB22" s="22"/>
      <c r="AC22" s="22"/>
      <c r="AD22" s="22"/>
      <c r="AE22" s="22"/>
      <c r="AF22" s="22"/>
      <c r="AG22" s="154"/>
      <c r="AH22" s="28">
        <v>23</v>
      </c>
      <c r="AI22" s="38"/>
      <c r="AJ22" s="22"/>
      <c r="AK22" s="22"/>
      <c r="AL22" s="22"/>
      <c r="AM22" s="29"/>
      <c r="AN22" s="30">
        <v>0</v>
      </c>
      <c r="AO22" s="39"/>
      <c r="AP22" s="39"/>
      <c r="AQ22" s="33">
        <v>0</v>
      </c>
      <c r="AR22" s="34">
        <v>41</v>
      </c>
      <c r="AS22" s="380">
        <v>0</v>
      </c>
      <c r="AT22" s="355">
        <v>29.5</v>
      </c>
      <c r="AU22" s="356">
        <f t="shared" si="0"/>
        <v>12</v>
      </c>
      <c r="AV22" s="386">
        <v>0</v>
      </c>
      <c r="AW22" s="358">
        <v>0</v>
      </c>
      <c r="AX22" s="356">
        <v>17.499999999999993</v>
      </c>
      <c r="AY22" s="387">
        <f t="shared" si="3"/>
        <v>0.40677966101694923</v>
      </c>
      <c r="AZ22" s="388">
        <f t="shared" si="4"/>
        <v>0.59322033898305071</v>
      </c>
      <c r="BA22" s="287">
        <v>1230000</v>
      </c>
      <c r="BB22" s="287">
        <f t="shared" si="5"/>
        <v>30000</v>
      </c>
    </row>
    <row r="23" spans="1:54" ht="15.75" hidden="1" thickBot="1" x14ac:dyDescent="0.3">
      <c r="A23" s="17" t="s">
        <v>1164</v>
      </c>
      <c r="B23" s="17" t="s">
        <v>1165</v>
      </c>
      <c r="C23" s="97" t="s">
        <v>80</v>
      </c>
      <c r="D23" s="150"/>
      <c r="E23" s="310"/>
      <c r="F23" s="310"/>
      <c r="G23" s="312"/>
      <c r="H23" s="310"/>
      <c r="I23" s="151"/>
      <c r="J23" s="152"/>
      <c r="K23" s="148"/>
      <c r="L23" s="393">
        <v>47</v>
      </c>
      <c r="M23" s="22">
        <v>30</v>
      </c>
      <c r="N23" s="153"/>
      <c r="O23" s="22"/>
      <c r="P23" s="22"/>
      <c r="Q23" s="22"/>
      <c r="R23" s="320"/>
      <c r="S23" s="24">
        <v>30</v>
      </c>
      <c r="T23" s="25">
        <v>15</v>
      </c>
      <c r="U23" s="22"/>
      <c r="V23" s="22"/>
      <c r="W23" s="157">
        <v>2</v>
      </c>
      <c r="X23" s="153"/>
      <c r="Y23" s="153"/>
      <c r="Z23" s="149"/>
      <c r="AA23" s="149"/>
      <c r="AB23" s="22"/>
      <c r="AC23" s="22"/>
      <c r="AD23" s="22"/>
      <c r="AE23" s="22"/>
      <c r="AF23" s="22"/>
      <c r="AG23" s="154"/>
      <c r="AH23" s="28">
        <v>17</v>
      </c>
      <c r="AI23" s="155"/>
      <c r="AJ23" s="153"/>
      <c r="AK23" s="153"/>
      <c r="AL23" s="22"/>
      <c r="AM23" s="29"/>
      <c r="AN23" s="156">
        <v>0</v>
      </c>
      <c r="AO23" s="39"/>
      <c r="AP23" s="39"/>
      <c r="AQ23" s="33">
        <v>0</v>
      </c>
      <c r="AR23" s="34">
        <v>47</v>
      </c>
      <c r="AS23" s="380">
        <v>0</v>
      </c>
      <c r="AT23" s="355">
        <v>32.5</v>
      </c>
      <c r="AU23" s="356">
        <f t="shared" si="0"/>
        <v>20</v>
      </c>
      <c r="AV23" s="386">
        <v>0</v>
      </c>
      <c r="AW23" s="358">
        <v>0</v>
      </c>
      <c r="AX23" s="356">
        <v>12.499999999999993</v>
      </c>
      <c r="AY23" s="387">
        <f t="shared" si="3"/>
        <v>0.61538461538461553</v>
      </c>
      <c r="AZ23" s="388">
        <f t="shared" si="4"/>
        <v>0.38461538461538447</v>
      </c>
      <c r="BA23" s="287">
        <v>1604999</v>
      </c>
      <c r="BB23" s="287">
        <f t="shared" si="5"/>
        <v>34148.914893617024</v>
      </c>
    </row>
    <row r="24" spans="1:54" ht="15.75" thickBot="1" x14ac:dyDescent="0.3">
      <c r="A24" s="17" t="s">
        <v>964</v>
      </c>
      <c r="B24" s="17" t="s">
        <v>965</v>
      </c>
      <c r="C24" s="97" t="s">
        <v>54</v>
      </c>
      <c r="D24" s="18"/>
      <c r="E24" s="18"/>
      <c r="F24" s="18"/>
      <c r="G24" s="151" t="s">
        <v>609</v>
      </c>
      <c r="H24" s="146"/>
      <c r="I24" s="151"/>
      <c r="J24" s="152"/>
      <c r="K24" s="148"/>
      <c r="L24" s="393">
        <v>40</v>
      </c>
      <c r="M24" s="22">
        <v>16</v>
      </c>
      <c r="N24" s="22"/>
      <c r="O24" s="22"/>
      <c r="P24" s="22"/>
      <c r="Q24" s="22"/>
      <c r="R24" s="23">
        <v>1</v>
      </c>
      <c r="S24" s="24">
        <v>17</v>
      </c>
      <c r="T24" s="25">
        <v>8.5</v>
      </c>
      <c r="U24" s="22">
        <v>4</v>
      </c>
      <c r="V24" s="22">
        <v>3</v>
      </c>
      <c r="W24" s="157">
        <v>2</v>
      </c>
      <c r="X24" s="22"/>
      <c r="Y24" s="22"/>
      <c r="Z24" s="149"/>
      <c r="AA24" s="149"/>
      <c r="AB24" s="22">
        <v>3</v>
      </c>
      <c r="AC24" s="22">
        <v>2</v>
      </c>
      <c r="AD24" s="22">
        <v>0.5</v>
      </c>
      <c r="AE24" s="22"/>
      <c r="AF24" s="22"/>
      <c r="AG24" s="154"/>
      <c r="AH24" s="28">
        <v>23</v>
      </c>
      <c r="AI24" s="38"/>
      <c r="AJ24" s="22"/>
      <c r="AK24" s="22"/>
      <c r="AL24" s="22"/>
      <c r="AM24" s="29"/>
      <c r="AN24" s="30">
        <v>0</v>
      </c>
      <c r="AO24" s="39"/>
      <c r="AP24" s="39"/>
      <c r="AQ24" s="33">
        <v>0</v>
      </c>
      <c r="AR24" s="34">
        <v>40</v>
      </c>
      <c r="AS24" s="380">
        <v>0</v>
      </c>
      <c r="AT24" s="355">
        <v>28.283333333333335</v>
      </c>
      <c r="AU24" s="356">
        <f t="shared" si="0"/>
        <v>13.333333333333334</v>
      </c>
      <c r="AV24" s="386">
        <v>0</v>
      </c>
      <c r="AW24" s="358">
        <v>0</v>
      </c>
      <c r="AX24" s="356">
        <v>16.949999999999996</v>
      </c>
      <c r="AY24" s="387">
        <f t="shared" si="3"/>
        <v>0.44028618602091363</v>
      </c>
      <c r="AZ24" s="388">
        <f t="shared" si="4"/>
        <v>0.55971381397908626</v>
      </c>
      <c r="BA24" s="287">
        <v>1535238</v>
      </c>
      <c r="BB24" s="287">
        <f t="shared" si="5"/>
        <v>38380.949999999997</v>
      </c>
    </row>
    <row r="25" spans="1:54" ht="15.75" thickBot="1" x14ac:dyDescent="0.3">
      <c r="A25" s="17" t="s">
        <v>966</v>
      </c>
      <c r="B25" s="17" t="s">
        <v>967</v>
      </c>
      <c r="C25" s="97" t="s">
        <v>180</v>
      </c>
      <c r="D25" s="150"/>
      <c r="E25" s="150"/>
      <c r="F25" s="97" t="s">
        <v>180</v>
      </c>
      <c r="G25" s="151" t="s">
        <v>609</v>
      </c>
      <c r="H25" s="146"/>
      <c r="I25" s="151"/>
      <c r="J25" s="152"/>
      <c r="K25" s="148"/>
      <c r="L25" s="394">
        <v>43.8</v>
      </c>
      <c r="M25" s="22">
        <v>16</v>
      </c>
      <c r="N25" s="153"/>
      <c r="O25" s="153"/>
      <c r="P25" s="22">
        <v>4</v>
      </c>
      <c r="Q25" s="22"/>
      <c r="R25" s="23">
        <v>1</v>
      </c>
      <c r="S25" s="24">
        <v>21</v>
      </c>
      <c r="T25" s="25">
        <v>6.5</v>
      </c>
      <c r="U25" s="22">
        <v>4</v>
      </c>
      <c r="V25" s="22">
        <v>3</v>
      </c>
      <c r="W25" s="157">
        <v>2</v>
      </c>
      <c r="X25" s="153"/>
      <c r="Y25" s="162">
        <v>2.7</v>
      </c>
      <c r="Z25" s="149"/>
      <c r="AA25" s="149" t="s">
        <v>57</v>
      </c>
      <c r="AB25" s="22">
        <v>2</v>
      </c>
      <c r="AC25" s="22">
        <v>2</v>
      </c>
      <c r="AD25" s="22">
        <v>0.3</v>
      </c>
      <c r="AE25" s="22"/>
      <c r="AF25" s="22"/>
      <c r="AG25" s="154"/>
      <c r="AH25" s="28">
        <v>22.5</v>
      </c>
      <c r="AI25" s="155"/>
      <c r="AJ25" s="153"/>
      <c r="AK25" s="153"/>
      <c r="AL25" s="22"/>
      <c r="AM25" s="29"/>
      <c r="AN25" s="156">
        <v>0</v>
      </c>
      <c r="AO25" s="39"/>
      <c r="AP25" s="39"/>
      <c r="AQ25" s="33">
        <v>0</v>
      </c>
      <c r="AR25" s="34">
        <v>43.5</v>
      </c>
      <c r="AS25" s="380">
        <v>0.29999999999999716</v>
      </c>
      <c r="AT25" s="355">
        <v>34.376666666666665</v>
      </c>
      <c r="AU25" s="356">
        <f t="shared" si="0"/>
        <v>15.333333333333334</v>
      </c>
      <c r="AV25" s="386">
        <v>0</v>
      </c>
      <c r="AW25" s="358">
        <v>0</v>
      </c>
      <c r="AX25" s="356">
        <v>20.376666666666658</v>
      </c>
      <c r="AY25" s="387">
        <f t="shared" si="3"/>
        <v>0.42938485951647543</v>
      </c>
      <c r="AZ25" s="388">
        <f t="shared" si="4"/>
        <v>0.57061514048352457</v>
      </c>
      <c r="BA25" s="287">
        <v>1749823</v>
      </c>
      <c r="BB25" s="287">
        <f t="shared" si="5"/>
        <v>39950.296803652971</v>
      </c>
    </row>
    <row r="26" spans="1:54" ht="15.75" hidden="1" thickBot="1" x14ac:dyDescent="0.3">
      <c r="A26" s="17" t="s">
        <v>1166</v>
      </c>
      <c r="B26" s="17" t="s">
        <v>1167</v>
      </c>
      <c r="C26" s="305" t="s">
        <v>80</v>
      </c>
      <c r="D26" s="309"/>
      <c r="E26" s="310"/>
      <c r="F26" s="310"/>
      <c r="G26" s="312"/>
      <c r="H26" s="310"/>
      <c r="I26" s="178"/>
      <c r="J26" s="177"/>
      <c r="K26" s="148"/>
      <c r="L26" s="393">
        <v>47</v>
      </c>
      <c r="M26" s="22">
        <v>30</v>
      </c>
      <c r="N26" s="153"/>
      <c r="O26" s="22"/>
      <c r="P26" s="22"/>
      <c r="Q26" s="22"/>
      <c r="R26" s="320"/>
      <c r="S26" s="24">
        <v>30</v>
      </c>
      <c r="T26" s="25">
        <v>15</v>
      </c>
      <c r="U26" s="22"/>
      <c r="V26" s="22"/>
      <c r="W26" s="157">
        <v>2</v>
      </c>
      <c r="X26" s="153"/>
      <c r="Y26" s="153"/>
      <c r="Z26" s="149"/>
      <c r="AA26" s="149"/>
      <c r="AB26" s="22"/>
      <c r="AC26" s="22"/>
      <c r="AD26" s="22"/>
      <c r="AE26" s="22"/>
      <c r="AF26" s="22"/>
      <c r="AG26" s="154"/>
      <c r="AH26" s="28">
        <v>17</v>
      </c>
      <c r="AI26" s="155"/>
      <c r="AJ26" s="153"/>
      <c r="AK26" s="153"/>
      <c r="AL26" s="22"/>
      <c r="AM26" s="29"/>
      <c r="AN26" s="156">
        <v>0</v>
      </c>
      <c r="AO26" s="39"/>
      <c r="AP26" s="39"/>
      <c r="AQ26" s="33">
        <v>0</v>
      </c>
      <c r="AR26" s="34">
        <v>47</v>
      </c>
      <c r="AS26" s="380">
        <v>0</v>
      </c>
      <c r="AT26" s="355">
        <v>32.5</v>
      </c>
      <c r="AU26" s="356">
        <f t="shared" si="0"/>
        <v>20</v>
      </c>
      <c r="AV26" s="386">
        <v>0</v>
      </c>
      <c r="AW26" s="358">
        <v>0</v>
      </c>
      <c r="AX26" s="356">
        <v>12.499999999999993</v>
      </c>
      <c r="AY26" s="387">
        <f t="shared" si="3"/>
        <v>0.61538461538461553</v>
      </c>
      <c r="AZ26" s="388">
        <f t="shared" si="4"/>
        <v>0.38461538461538447</v>
      </c>
      <c r="BA26" s="287">
        <v>1515625</v>
      </c>
      <c r="BB26" s="287">
        <f t="shared" si="5"/>
        <v>32247.340425531915</v>
      </c>
    </row>
    <row r="27" spans="1:54" ht="15.75" thickBot="1" x14ac:dyDescent="0.3">
      <c r="A27" s="17" t="s">
        <v>968</v>
      </c>
      <c r="B27" s="17" t="s">
        <v>969</v>
      </c>
      <c r="C27" s="97" t="s">
        <v>180</v>
      </c>
      <c r="D27" s="150"/>
      <c r="E27" s="150"/>
      <c r="F27" s="150"/>
      <c r="G27" s="151"/>
      <c r="H27" s="146"/>
      <c r="I27" s="151"/>
      <c r="J27" s="152"/>
      <c r="K27" s="148"/>
      <c r="L27" s="394">
        <v>11.4</v>
      </c>
      <c r="M27" s="22">
        <v>6</v>
      </c>
      <c r="N27" s="153"/>
      <c r="O27" s="153"/>
      <c r="P27" s="22"/>
      <c r="Q27" s="22"/>
      <c r="R27" s="23"/>
      <c r="S27" s="24">
        <v>6</v>
      </c>
      <c r="T27" s="167">
        <v>2.4000000000000004</v>
      </c>
      <c r="U27" s="22"/>
      <c r="V27" s="22"/>
      <c r="W27" s="157">
        <v>2</v>
      </c>
      <c r="X27" s="153"/>
      <c r="Y27" s="153"/>
      <c r="Z27" s="149"/>
      <c r="AA27" s="149"/>
      <c r="AB27" s="22">
        <v>0</v>
      </c>
      <c r="AC27" s="22">
        <v>1</v>
      </c>
      <c r="AD27" s="22">
        <v>0</v>
      </c>
      <c r="AE27" s="22"/>
      <c r="AF27" s="22"/>
      <c r="AG27" s="154"/>
      <c r="AH27" s="28">
        <v>5.4</v>
      </c>
      <c r="AI27" s="155"/>
      <c r="AJ27" s="153"/>
      <c r="AK27" s="153"/>
      <c r="AL27" s="22"/>
      <c r="AM27" s="29"/>
      <c r="AN27" s="156">
        <v>0</v>
      </c>
      <c r="AO27" s="39"/>
      <c r="AP27" s="39"/>
      <c r="AQ27" s="33">
        <v>0</v>
      </c>
      <c r="AR27" s="34">
        <v>11.4</v>
      </c>
      <c r="AS27" s="380">
        <v>0</v>
      </c>
      <c r="AT27" s="355">
        <v>15.133333333333333</v>
      </c>
      <c r="AU27" s="356">
        <f t="shared" si="0"/>
        <v>4</v>
      </c>
      <c r="AV27" s="386">
        <v>0</v>
      </c>
      <c r="AW27" s="358">
        <v>0</v>
      </c>
      <c r="AX27" s="356">
        <v>11.133333333333331</v>
      </c>
      <c r="AY27" s="387">
        <f t="shared" si="3"/>
        <v>0.26431718061674014</v>
      </c>
      <c r="AZ27" s="388">
        <f t="shared" si="4"/>
        <v>0.73568281938325986</v>
      </c>
      <c r="BA27" s="287">
        <v>438188</v>
      </c>
      <c r="BB27" s="287">
        <f t="shared" si="5"/>
        <v>38437.543859649122</v>
      </c>
    </row>
    <row r="28" spans="1:54" ht="15.75" thickBot="1" x14ac:dyDescent="0.3">
      <c r="A28" s="17" t="s">
        <v>970</v>
      </c>
      <c r="B28" s="17" t="s">
        <v>971</v>
      </c>
      <c r="C28" s="97" t="s">
        <v>109</v>
      </c>
      <c r="D28" s="18"/>
      <c r="E28" s="18"/>
      <c r="F28" s="18"/>
      <c r="G28" s="146"/>
      <c r="H28" s="146" t="s">
        <v>609</v>
      </c>
      <c r="I28" s="151"/>
      <c r="J28" s="152"/>
      <c r="K28" s="148"/>
      <c r="L28" s="393">
        <v>48.5</v>
      </c>
      <c r="M28" s="22">
        <v>21</v>
      </c>
      <c r="N28" s="22"/>
      <c r="O28" s="22"/>
      <c r="P28" s="22"/>
      <c r="Q28" s="22"/>
      <c r="R28" s="23"/>
      <c r="S28" s="24">
        <v>21</v>
      </c>
      <c r="T28" s="166">
        <v>10.5</v>
      </c>
      <c r="U28" s="22"/>
      <c r="V28" s="22"/>
      <c r="W28" s="157">
        <v>2</v>
      </c>
      <c r="X28" s="22"/>
      <c r="Y28" s="22"/>
      <c r="Z28" s="149"/>
      <c r="AA28" s="149" t="s">
        <v>57</v>
      </c>
      <c r="AB28" s="22"/>
      <c r="AC28" s="22"/>
      <c r="AD28" s="22"/>
      <c r="AE28" s="22"/>
      <c r="AF28" s="22">
        <v>3</v>
      </c>
      <c r="AG28" s="154" t="s">
        <v>928</v>
      </c>
      <c r="AH28" s="28">
        <v>15.5</v>
      </c>
      <c r="AI28" s="38"/>
      <c r="AJ28" s="22">
        <v>12</v>
      </c>
      <c r="AK28" s="22"/>
      <c r="AL28" s="22"/>
      <c r="AM28" s="29"/>
      <c r="AN28" s="30">
        <v>12</v>
      </c>
      <c r="AO28" s="39"/>
      <c r="AP28" s="39"/>
      <c r="AQ28" s="33">
        <v>0</v>
      </c>
      <c r="AR28" s="34">
        <v>48.5</v>
      </c>
      <c r="AS28" s="380">
        <v>0</v>
      </c>
      <c r="AT28" s="355">
        <v>30.333333333333332</v>
      </c>
      <c r="AU28" s="356">
        <f t="shared" si="0"/>
        <v>14</v>
      </c>
      <c r="AV28" s="386">
        <v>8</v>
      </c>
      <c r="AW28" s="358">
        <v>0</v>
      </c>
      <c r="AX28" s="356">
        <v>8.333333333333325</v>
      </c>
      <c r="AY28" s="387">
        <f t="shared" si="3"/>
        <v>0.6268656716417913</v>
      </c>
      <c r="AZ28" s="388">
        <f t="shared" si="4"/>
        <v>0.3731343283582087</v>
      </c>
      <c r="BA28" s="287">
        <v>2620651</v>
      </c>
      <c r="BB28" s="287">
        <f t="shared" si="5"/>
        <v>54034.041237113401</v>
      </c>
    </row>
    <row r="29" spans="1:54" ht="15.75" thickBot="1" x14ac:dyDescent="0.3">
      <c r="A29" s="17" t="s">
        <v>972</v>
      </c>
      <c r="B29" s="17" t="s">
        <v>973</v>
      </c>
      <c r="C29" s="97" t="s">
        <v>54</v>
      </c>
      <c r="D29" s="18"/>
      <c r="E29" s="18"/>
      <c r="F29" s="97" t="s">
        <v>54</v>
      </c>
      <c r="G29" s="151"/>
      <c r="H29" s="146"/>
      <c r="I29" s="151"/>
      <c r="J29" s="20"/>
      <c r="K29" s="19"/>
      <c r="L29" s="394">
        <v>18</v>
      </c>
      <c r="M29" s="22">
        <v>4</v>
      </c>
      <c r="N29" s="22"/>
      <c r="O29" s="22"/>
      <c r="P29" s="22">
        <v>4</v>
      </c>
      <c r="Q29" s="22"/>
      <c r="R29" s="23"/>
      <c r="S29" s="24">
        <v>8</v>
      </c>
      <c r="T29" s="25">
        <v>4</v>
      </c>
      <c r="U29" s="22"/>
      <c r="V29" s="22"/>
      <c r="W29" s="157">
        <v>2</v>
      </c>
      <c r="X29" s="22"/>
      <c r="Y29" s="22"/>
      <c r="Z29" s="149"/>
      <c r="AA29" s="149" t="s">
        <v>57</v>
      </c>
      <c r="AB29" s="22">
        <v>3</v>
      </c>
      <c r="AC29" s="22">
        <v>0</v>
      </c>
      <c r="AD29" s="22">
        <v>1</v>
      </c>
      <c r="AE29" s="22"/>
      <c r="AF29" s="47"/>
      <c r="AG29" s="168"/>
      <c r="AH29" s="28">
        <v>10</v>
      </c>
      <c r="AI29" s="38"/>
      <c r="AJ29" s="22"/>
      <c r="AK29" s="22"/>
      <c r="AL29" s="22"/>
      <c r="AM29" s="29"/>
      <c r="AN29" s="30">
        <v>0</v>
      </c>
      <c r="AO29" s="39"/>
      <c r="AP29" s="39"/>
      <c r="AQ29" s="33">
        <v>0</v>
      </c>
      <c r="AR29" s="34">
        <v>18</v>
      </c>
      <c r="AS29" s="380">
        <v>0</v>
      </c>
      <c r="AT29" s="355">
        <v>14.166666666666666</v>
      </c>
      <c r="AU29" s="356">
        <f t="shared" si="0"/>
        <v>7.333333333333333</v>
      </c>
      <c r="AV29" s="386">
        <v>0</v>
      </c>
      <c r="AW29" s="358">
        <v>0</v>
      </c>
      <c r="AX29" s="356">
        <v>8.8333333333333304</v>
      </c>
      <c r="AY29" s="387">
        <f t="shared" si="3"/>
        <v>0.45360824742268047</v>
      </c>
      <c r="AZ29" s="388">
        <f t="shared" si="4"/>
        <v>0.54639175257731953</v>
      </c>
      <c r="BA29" s="287">
        <v>830250</v>
      </c>
      <c r="BB29" s="287">
        <f t="shared" si="5"/>
        <v>46125</v>
      </c>
    </row>
    <row r="30" spans="1:54" ht="15.75" thickBot="1" x14ac:dyDescent="0.3">
      <c r="A30" s="17" t="s">
        <v>974</v>
      </c>
      <c r="B30" s="17" t="s">
        <v>975</v>
      </c>
      <c r="C30" s="97" t="s">
        <v>126</v>
      </c>
      <c r="D30" s="18"/>
      <c r="E30" s="18"/>
      <c r="F30" s="18"/>
      <c r="G30" s="151"/>
      <c r="H30" s="146"/>
      <c r="I30" s="151"/>
      <c r="J30" s="152"/>
      <c r="K30" s="148"/>
      <c r="L30" s="393">
        <v>38.4</v>
      </c>
      <c r="M30" s="22">
        <v>16</v>
      </c>
      <c r="N30" s="22"/>
      <c r="O30" s="22"/>
      <c r="P30" s="22"/>
      <c r="Q30" s="22"/>
      <c r="R30" s="23"/>
      <c r="S30" s="24">
        <v>16</v>
      </c>
      <c r="T30" s="25">
        <v>4.8</v>
      </c>
      <c r="U30" s="22"/>
      <c r="V30" s="22"/>
      <c r="W30" s="157">
        <v>2</v>
      </c>
      <c r="X30" s="22"/>
      <c r="Y30" s="22">
        <v>15.6</v>
      </c>
      <c r="Z30" s="149"/>
      <c r="AA30" s="149"/>
      <c r="AB30" s="22"/>
      <c r="AC30" s="22"/>
      <c r="AD30" s="22"/>
      <c r="AE30" s="31"/>
      <c r="AF30" s="49"/>
      <c r="AG30" s="322"/>
      <c r="AH30" s="169">
        <v>22.4</v>
      </c>
      <c r="AI30" s="38"/>
      <c r="AJ30" s="22"/>
      <c r="AK30" s="22"/>
      <c r="AL30" s="22"/>
      <c r="AM30" s="29"/>
      <c r="AN30" s="30">
        <v>0</v>
      </c>
      <c r="AO30" s="36"/>
      <c r="AP30" s="36"/>
      <c r="AQ30" s="33">
        <v>0</v>
      </c>
      <c r="AR30" s="34">
        <v>38.4</v>
      </c>
      <c r="AS30" s="380">
        <v>0</v>
      </c>
      <c r="AT30" s="355">
        <v>28.466666666666665</v>
      </c>
      <c r="AU30" s="356">
        <f t="shared" si="0"/>
        <v>10.666666666666666</v>
      </c>
      <c r="AV30" s="386">
        <v>0</v>
      </c>
      <c r="AW30" s="358">
        <v>0</v>
      </c>
      <c r="AX30" s="356">
        <v>17.799999999999994</v>
      </c>
      <c r="AY30" s="387">
        <f t="shared" si="3"/>
        <v>0.37470725995316162</v>
      </c>
      <c r="AZ30" s="388">
        <f t="shared" si="4"/>
        <v>0.62529274004683832</v>
      </c>
      <c r="BA30" s="287">
        <v>1228800</v>
      </c>
      <c r="BB30" s="287">
        <f t="shared" si="5"/>
        <v>32000</v>
      </c>
    </row>
    <row r="31" spans="1:54" ht="15.75" thickBot="1" x14ac:dyDescent="0.3">
      <c r="A31" s="17" t="s">
        <v>976</v>
      </c>
      <c r="B31" s="17" t="s">
        <v>977</v>
      </c>
      <c r="C31" s="97" t="s">
        <v>64</v>
      </c>
      <c r="D31" s="150"/>
      <c r="E31" s="150"/>
      <c r="F31" s="150"/>
      <c r="G31" s="151" t="s">
        <v>57</v>
      </c>
      <c r="H31" s="146"/>
      <c r="I31" s="151"/>
      <c r="J31" s="152"/>
      <c r="K31" s="148"/>
      <c r="L31" s="394">
        <v>48.75</v>
      </c>
      <c r="M31" s="22">
        <v>18</v>
      </c>
      <c r="N31" s="153"/>
      <c r="O31" s="153"/>
      <c r="P31" s="22"/>
      <c r="Q31" s="22">
        <v>1</v>
      </c>
      <c r="R31" s="23">
        <v>1</v>
      </c>
      <c r="S31" s="24">
        <f>SUBTOTAL(9,M31:R31)</f>
        <v>20</v>
      </c>
      <c r="T31" s="433">
        <v>9</v>
      </c>
      <c r="U31" s="22">
        <v>6.5</v>
      </c>
      <c r="V31" s="22"/>
      <c r="W31" s="157">
        <v>2</v>
      </c>
      <c r="X31" s="153"/>
      <c r="Y31" s="153"/>
      <c r="Z31" s="149"/>
      <c r="AA31" s="149"/>
      <c r="AB31" s="22"/>
      <c r="AC31" s="22">
        <v>1</v>
      </c>
      <c r="AD31" s="22">
        <v>0.75</v>
      </c>
      <c r="AE31" s="22"/>
      <c r="AF31" s="22">
        <v>9.5</v>
      </c>
      <c r="AG31" s="154" t="s">
        <v>928</v>
      </c>
      <c r="AH31" s="28">
        <f>SUBTOTAL(9,T31:AF31)</f>
        <v>28.75</v>
      </c>
      <c r="AI31" s="155"/>
      <c r="AJ31" s="153"/>
      <c r="AK31" s="153"/>
      <c r="AL31" s="22"/>
      <c r="AM31" s="29"/>
      <c r="AN31" s="156">
        <v>0</v>
      </c>
      <c r="AO31" s="39"/>
      <c r="AP31" s="39"/>
      <c r="AQ31" s="33">
        <v>0</v>
      </c>
      <c r="AR31" s="34">
        <f>+AQ31+AN31+AH31+S31</f>
        <v>48.75</v>
      </c>
      <c r="AS31" s="380">
        <v>-4.9999999999997158E-2</v>
      </c>
      <c r="AT31" s="355">
        <v>33.266666666666666</v>
      </c>
      <c r="AU31" s="356">
        <f t="shared" si="0"/>
        <v>13.333333333333334</v>
      </c>
      <c r="AV31" s="386">
        <v>0</v>
      </c>
      <c r="AW31" s="358">
        <v>0</v>
      </c>
      <c r="AX31" s="356">
        <v>23.93333333333333</v>
      </c>
      <c r="AY31" s="387">
        <f t="shared" si="3"/>
        <v>0.35778175313059035</v>
      </c>
      <c r="AZ31" s="388">
        <f t="shared" si="4"/>
        <v>0.64221824686940954</v>
      </c>
      <c r="BA31" s="287">
        <v>1837341</v>
      </c>
      <c r="BB31" s="287">
        <f t="shared" si="5"/>
        <v>37689.046153846153</v>
      </c>
    </row>
    <row r="32" spans="1:54" ht="15.75" thickBot="1" x14ac:dyDescent="0.3">
      <c r="A32" s="17" t="s">
        <v>978</v>
      </c>
      <c r="B32" s="17" t="s">
        <v>979</v>
      </c>
      <c r="C32" s="97" t="s">
        <v>55</v>
      </c>
      <c r="D32" s="150"/>
      <c r="E32" s="150"/>
      <c r="F32" s="150"/>
      <c r="G32" s="151"/>
      <c r="H32" s="146"/>
      <c r="I32" s="151"/>
      <c r="J32" s="152"/>
      <c r="K32" s="148"/>
      <c r="L32" s="394">
        <v>53</v>
      </c>
      <c r="M32" s="22">
        <v>14</v>
      </c>
      <c r="N32" s="153"/>
      <c r="O32" s="153"/>
      <c r="P32" s="22"/>
      <c r="Q32" s="22"/>
      <c r="R32" s="23"/>
      <c r="S32" s="24">
        <v>14</v>
      </c>
      <c r="T32" s="25">
        <v>8.4</v>
      </c>
      <c r="U32" s="22"/>
      <c r="V32" s="22"/>
      <c r="W32" s="157">
        <v>2</v>
      </c>
      <c r="X32" s="153"/>
      <c r="Y32" s="153"/>
      <c r="Z32" s="149"/>
      <c r="AA32" s="149"/>
      <c r="AB32" s="22"/>
      <c r="AC32" s="22"/>
      <c r="AD32" s="22"/>
      <c r="AE32" s="22"/>
      <c r="AF32" s="321"/>
      <c r="AG32" s="321"/>
      <c r="AH32" s="28">
        <v>10.4</v>
      </c>
      <c r="AI32" s="38"/>
      <c r="AJ32" s="22"/>
      <c r="AK32" s="22"/>
      <c r="AL32" s="22"/>
      <c r="AM32" s="29"/>
      <c r="AN32" s="30">
        <v>0</v>
      </c>
      <c r="AO32" s="288">
        <v>28.6</v>
      </c>
      <c r="AP32" s="323" t="s">
        <v>980</v>
      </c>
      <c r="AQ32" s="33">
        <v>28.6</v>
      </c>
      <c r="AR32" s="34">
        <v>53</v>
      </c>
      <c r="AS32" s="380">
        <v>0</v>
      </c>
      <c r="AT32" s="355">
        <v>39.406666666666666</v>
      </c>
      <c r="AU32" s="356">
        <f t="shared" si="0"/>
        <v>9.3333333333333339</v>
      </c>
      <c r="AV32" s="386">
        <v>0</v>
      </c>
      <c r="AW32" s="358">
        <v>19.066666666666677</v>
      </c>
      <c r="AX32" s="356">
        <v>11.006666666666653</v>
      </c>
      <c r="AY32" s="387">
        <f t="shared" si="3"/>
        <v>0.45886594559160959</v>
      </c>
      <c r="AZ32" s="388">
        <f t="shared" si="4"/>
        <v>0.54113405440839035</v>
      </c>
      <c r="BA32" s="287">
        <v>1819950</v>
      </c>
      <c r="BB32" s="287">
        <f t="shared" si="5"/>
        <v>34338.67924528302</v>
      </c>
    </row>
    <row r="33" spans="1:54" ht="15.75" thickBot="1" x14ac:dyDescent="0.3">
      <c r="A33" s="17" t="s">
        <v>981</v>
      </c>
      <c r="B33" s="17" t="s">
        <v>982</v>
      </c>
      <c r="C33" s="97" t="s">
        <v>56</v>
      </c>
      <c r="D33" s="150"/>
      <c r="E33" s="150"/>
      <c r="F33" s="150"/>
      <c r="G33" s="151" t="s">
        <v>609</v>
      </c>
      <c r="H33" s="146"/>
      <c r="I33" s="146"/>
      <c r="J33" s="152"/>
      <c r="K33" s="148"/>
      <c r="L33" s="394">
        <v>31</v>
      </c>
      <c r="M33" s="22">
        <v>11</v>
      </c>
      <c r="N33" s="153"/>
      <c r="O33" s="153"/>
      <c r="P33" s="22"/>
      <c r="Q33" s="22"/>
      <c r="R33" s="23">
        <v>1</v>
      </c>
      <c r="S33" s="24">
        <v>12</v>
      </c>
      <c r="T33" s="25">
        <v>6</v>
      </c>
      <c r="U33" s="22">
        <v>5</v>
      </c>
      <c r="V33" s="22">
        <v>3</v>
      </c>
      <c r="W33" s="157">
        <v>2</v>
      </c>
      <c r="X33" s="153"/>
      <c r="Y33" s="153"/>
      <c r="Z33" s="149"/>
      <c r="AA33" s="149" t="s">
        <v>57</v>
      </c>
      <c r="AB33" s="22"/>
      <c r="AC33" s="22">
        <v>2</v>
      </c>
      <c r="AD33" s="22">
        <v>1</v>
      </c>
      <c r="AE33" s="22"/>
      <c r="AF33" s="22"/>
      <c r="AG33" s="154"/>
      <c r="AH33" s="28">
        <v>19</v>
      </c>
      <c r="AI33" s="155"/>
      <c r="AJ33" s="153"/>
      <c r="AK33" s="153"/>
      <c r="AL33" s="22"/>
      <c r="AM33" s="29"/>
      <c r="AN33" s="156">
        <v>0</v>
      </c>
      <c r="AO33" s="39"/>
      <c r="AP33" s="39"/>
      <c r="AQ33" s="33">
        <v>0</v>
      </c>
      <c r="AR33" s="34">
        <v>31</v>
      </c>
      <c r="AS33" s="380">
        <v>0</v>
      </c>
      <c r="AT33" s="355">
        <v>33.200000000000003</v>
      </c>
      <c r="AU33" s="356">
        <f t="shared" si="0"/>
        <v>8</v>
      </c>
      <c r="AV33" s="386">
        <v>0</v>
      </c>
      <c r="AW33" s="358">
        <v>0</v>
      </c>
      <c r="AX33" s="356">
        <v>25.2</v>
      </c>
      <c r="AY33" s="387">
        <f t="shared" si="3"/>
        <v>0.24096385542168672</v>
      </c>
      <c r="AZ33" s="388">
        <f t="shared" si="4"/>
        <v>0.75903614457831314</v>
      </c>
      <c r="BA33" s="287">
        <v>1143024</v>
      </c>
      <c r="BB33" s="287">
        <f t="shared" si="5"/>
        <v>36871.741935483871</v>
      </c>
    </row>
    <row r="34" spans="1:54" ht="15.75" thickBot="1" x14ac:dyDescent="0.3">
      <c r="A34" s="17" t="s">
        <v>983</v>
      </c>
      <c r="B34" s="17" t="s">
        <v>984</v>
      </c>
      <c r="C34" s="97" t="s">
        <v>114</v>
      </c>
      <c r="D34" s="150"/>
      <c r="E34" s="150"/>
      <c r="F34" s="150"/>
      <c r="G34" s="151" t="s">
        <v>57</v>
      </c>
      <c r="H34" s="146"/>
      <c r="I34" s="151"/>
      <c r="J34" s="152"/>
      <c r="K34" s="148"/>
      <c r="L34" s="394">
        <v>48.75</v>
      </c>
      <c r="M34" s="22">
        <v>23</v>
      </c>
      <c r="N34" s="153"/>
      <c r="O34" s="153"/>
      <c r="P34" s="153"/>
      <c r="Q34" s="22">
        <v>2</v>
      </c>
      <c r="R34" s="23">
        <v>1</v>
      </c>
      <c r="S34" s="24">
        <f>SUBTOTAL(9,M34:R34)</f>
        <v>26</v>
      </c>
      <c r="T34" s="434">
        <v>11.5</v>
      </c>
      <c r="U34" s="22">
        <v>6.5</v>
      </c>
      <c r="V34" s="22"/>
      <c r="W34" s="157">
        <v>2</v>
      </c>
      <c r="X34" s="153"/>
      <c r="Y34" s="153"/>
      <c r="Z34" s="149"/>
      <c r="AA34" s="149"/>
      <c r="AB34" s="22"/>
      <c r="AC34" s="22">
        <v>1</v>
      </c>
      <c r="AD34" s="22">
        <v>0.75</v>
      </c>
      <c r="AE34" s="22"/>
      <c r="AF34" s="22">
        <v>1</v>
      </c>
      <c r="AG34" s="154" t="s">
        <v>928</v>
      </c>
      <c r="AH34" s="28">
        <f>SUBTOTAL(9,T34:AF34)</f>
        <v>22.75</v>
      </c>
      <c r="AI34" s="155"/>
      <c r="AJ34" s="153"/>
      <c r="AK34" s="153"/>
      <c r="AL34" s="22"/>
      <c r="AM34" s="29"/>
      <c r="AN34" s="156">
        <v>0</v>
      </c>
      <c r="AO34" s="39"/>
      <c r="AP34" s="39"/>
      <c r="AQ34" s="33">
        <v>0</v>
      </c>
      <c r="AR34" s="34">
        <f>+AQ34+AN34+AH34+S34</f>
        <v>48.75</v>
      </c>
      <c r="AS34" s="380">
        <v>-0.25</v>
      </c>
      <c r="AT34" s="355">
        <v>34.383333333333333</v>
      </c>
      <c r="AU34" s="356">
        <f t="shared" si="0"/>
        <v>17.333333333333332</v>
      </c>
      <c r="AV34" s="386">
        <v>0</v>
      </c>
      <c r="AW34" s="358">
        <v>0</v>
      </c>
      <c r="AX34" s="356">
        <v>18.383333333333326</v>
      </c>
      <c r="AY34" s="387">
        <f t="shared" si="3"/>
        <v>0.48530097993467114</v>
      </c>
      <c r="AZ34" s="388">
        <f t="shared" si="4"/>
        <v>0.51469902006532897</v>
      </c>
      <c r="BA34" s="287">
        <v>1906753</v>
      </c>
      <c r="BB34" s="287">
        <f t="shared" si="5"/>
        <v>39112.882051282053</v>
      </c>
    </row>
    <row r="35" spans="1:54" ht="15.75" hidden="1" thickBot="1" x14ac:dyDescent="0.3">
      <c r="A35" s="17" t="s">
        <v>1168</v>
      </c>
      <c r="B35" s="17" t="s">
        <v>1169</v>
      </c>
      <c r="C35" s="97" t="s">
        <v>80</v>
      </c>
      <c r="D35" s="308"/>
      <c r="E35" s="312"/>
      <c r="F35" s="312"/>
      <c r="G35" s="312"/>
      <c r="H35" s="312"/>
      <c r="I35" s="316"/>
      <c r="J35" s="318"/>
      <c r="K35" s="148"/>
      <c r="L35" s="393">
        <v>47</v>
      </c>
      <c r="M35" s="22">
        <v>30</v>
      </c>
      <c r="N35" s="153"/>
      <c r="O35" s="153"/>
      <c r="P35" s="22"/>
      <c r="Q35" s="22"/>
      <c r="R35" s="320"/>
      <c r="S35" s="24">
        <v>30</v>
      </c>
      <c r="T35" s="25">
        <v>15</v>
      </c>
      <c r="U35" s="22"/>
      <c r="V35" s="22"/>
      <c r="W35" s="157">
        <v>2</v>
      </c>
      <c r="X35" s="153"/>
      <c r="Y35" s="153"/>
      <c r="Z35" s="149"/>
      <c r="AA35" s="149"/>
      <c r="AB35" s="22"/>
      <c r="AC35" s="22"/>
      <c r="AD35" s="22"/>
      <c r="AE35" s="22"/>
      <c r="AF35" s="22"/>
      <c r="AG35" s="154"/>
      <c r="AH35" s="28">
        <v>17</v>
      </c>
      <c r="AI35" s="155"/>
      <c r="AJ35" s="153"/>
      <c r="AK35" s="153"/>
      <c r="AL35" s="22"/>
      <c r="AM35" s="29"/>
      <c r="AN35" s="156">
        <v>0</v>
      </c>
      <c r="AO35" s="39"/>
      <c r="AP35" s="39"/>
      <c r="AQ35" s="33">
        <v>0</v>
      </c>
      <c r="AR35" s="34">
        <v>47</v>
      </c>
      <c r="AS35" s="380">
        <v>0</v>
      </c>
      <c r="AT35" s="355">
        <v>32.5</v>
      </c>
      <c r="AU35" s="356">
        <f t="shared" si="0"/>
        <v>20</v>
      </c>
      <c r="AV35" s="386">
        <v>0</v>
      </c>
      <c r="AW35" s="358">
        <v>0</v>
      </c>
      <c r="AX35" s="356">
        <v>12.499999999999993</v>
      </c>
      <c r="AY35" s="387">
        <f t="shared" si="3"/>
        <v>0.61538461538461553</v>
      </c>
      <c r="AZ35" s="388">
        <f t="shared" si="4"/>
        <v>0.38461538461538447</v>
      </c>
      <c r="BA35" s="287">
        <v>1478964</v>
      </c>
      <c r="BB35" s="287">
        <f t="shared" si="5"/>
        <v>31467.319148936171</v>
      </c>
    </row>
    <row r="36" spans="1:54" ht="15.75" thickBot="1" x14ac:dyDescent="0.3">
      <c r="A36" s="17" t="s">
        <v>985</v>
      </c>
      <c r="B36" s="17" t="s">
        <v>986</v>
      </c>
      <c r="C36" s="97" t="s">
        <v>54</v>
      </c>
      <c r="D36" s="18"/>
      <c r="E36" s="18"/>
      <c r="F36" s="18"/>
      <c r="G36" s="151"/>
      <c r="H36" s="146"/>
      <c r="I36" s="151" t="s">
        <v>609</v>
      </c>
      <c r="J36" s="147" t="s">
        <v>205</v>
      </c>
      <c r="K36" s="148" t="s">
        <v>349</v>
      </c>
      <c r="L36" s="394">
        <v>50</v>
      </c>
      <c r="M36" s="22">
        <v>4</v>
      </c>
      <c r="N36" s="22"/>
      <c r="O36" s="22"/>
      <c r="P36" s="22"/>
      <c r="Q36" s="22"/>
      <c r="R36" s="23"/>
      <c r="S36" s="24">
        <v>4</v>
      </c>
      <c r="T36" s="25">
        <v>2</v>
      </c>
      <c r="U36" s="22"/>
      <c r="V36" s="22"/>
      <c r="W36" s="157">
        <v>2</v>
      </c>
      <c r="X36" s="22"/>
      <c r="Y36" s="22"/>
      <c r="Z36" s="149"/>
      <c r="AA36" s="149"/>
      <c r="AB36" s="22">
        <v>2</v>
      </c>
      <c r="AC36" s="22">
        <v>5</v>
      </c>
      <c r="AD36" s="22">
        <v>1.5</v>
      </c>
      <c r="AE36" s="22"/>
      <c r="AF36" s="22">
        <v>3.5</v>
      </c>
      <c r="AG36" s="154" t="s">
        <v>987</v>
      </c>
      <c r="AH36" s="28">
        <v>16</v>
      </c>
      <c r="AI36" s="38">
        <v>30</v>
      </c>
      <c r="AJ36" s="22"/>
      <c r="AK36" s="22"/>
      <c r="AL36" s="22"/>
      <c r="AM36" s="29"/>
      <c r="AN36" s="30">
        <v>30</v>
      </c>
      <c r="AO36" s="39"/>
      <c r="AP36" s="39"/>
      <c r="AQ36" s="33">
        <v>0</v>
      </c>
      <c r="AR36" s="34">
        <v>50</v>
      </c>
      <c r="AS36" s="380">
        <v>0</v>
      </c>
      <c r="AT36" s="355">
        <v>33.033333333333331</v>
      </c>
      <c r="AU36" s="356">
        <f t="shared" ref="AU36:AU67" si="6">+(S36+AB36)*40/60</f>
        <v>4</v>
      </c>
      <c r="AV36" s="386">
        <v>20</v>
      </c>
      <c r="AW36" s="358">
        <v>0</v>
      </c>
      <c r="AX36" s="356">
        <v>10.366666666666664</v>
      </c>
      <c r="AY36" s="387">
        <f t="shared" si="3"/>
        <v>0.2784222737819026</v>
      </c>
      <c r="AZ36" s="388">
        <f t="shared" si="4"/>
        <v>0.72157772621809735</v>
      </c>
      <c r="BA36" s="287">
        <v>2724275</v>
      </c>
      <c r="BB36" s="287">
        <f t="shared" si="5"/>
        <v>54485.5</v>
      </c>
    </row>
    <row r="37" spans="1:54" ht="15.75" thickBot="1" x14ac:dyDescent="0.3">
      <c r="A37" s="17" t="s">
        <v>988</v>
      </c>
      <c r="B37" s="17" t="s">
        <v>989</v>
      </c>
      <c r="C37" s="97" t="s">
        <v>114</v>
      </c>
      <c r="D37" s="150"/>
      <c r="E37" s="150"/>
      <c r="F37" s="150"/>
      <c r="G37" s="151" t="s">
        <v>57</v>
      </c>
      <c r="H37" s="146"/>
      <c r="I37" s="151"/>
      <c r="J37" s="152"/>
      <c r="K37" s="148"/>
      <c r="L37" s="394">
        <v>48.75</v>
      </c>
      <c r="M37" s="22">
        <v>23</v>
      </c>
      <c r="N37" s="153"/>
      <c r="O37" s="153"/>
      <c r="P37" s="153"/>
      <c r="Q37" s="22">
        <v>1</v>
      </c>
      <c r="R37" s="23">
        <v>1</v>
      </c>
      <c r="S37" s="24">
        <f t="shared" ref="S37:S38" si="7">SUBTOTAL(9,M37:R37)</f>
        <v>25</v>
      </c>
      <c r="T37" s="434">
        <v>11.5</v>
      </c>
      <c r="U37" s="22">
        <v>6.5</v>
      </c>
      <c r="V37" s="22"/>
      <c r="W37" s="157">
        <v>2</v>
      </c>
      <c r="X37" s="153"/>
      <c r="Y37" s="153"/>
      <c r="Z37" s="149"/>
      <c r="AA37" s="149"/>
      <c r="AB37" s="22">
        <v>3</v>
      </c>
      <c r="AC37" s="22">
        <v>0.75</v>
      </c>
      <c r="AD37" s="22"/>
      <c r="AE37" s="22"/>
      <c r="AF37" s="22"/>
      <c r="AG37" s="154" t="s">
        <v>928</v>
      </c>
      <c r="AH37" s="28">
        <f t="shared" ref="AH37:AH38" si="8">SUBTOTAL(9,T37:AF37)</f>
        <v>23.75</v>
      </c>
      <c r="AI37" s="155"/>
      <c r="AJ37" s="153"/>
      <c r="AK37" s="153"/>
      <c r="AL37" s="22"/>
      <c r="AM37" s="29"/>
      <c r="AN37" s="156">
        <v>0</v>
      </c>
      <c r="AO37" s="39"/>
      <c r="AP37" s="39"/>
      <c r="AQ37" s="33">
        <v>0</v>
      </c>
      <c r="AR37" s="34">
        <f t="shared" ref="AR37:AR38" si="9">+AQ37+AN37+AH37+S37</f>
        <v>48.75</v>
      </c>
      <c r="AS37" s="380">
        <v>-4.9999999999997158E-2</v>
      </c>
      <c r="AT37" s="355">
        <v>30.333333333333332</v>
      </c>
      <c r="AU37" s="356">
        <f t="shared" si="6"/>
        <v>18.666666666666668</v>
      </c>
      <c r="AV37" s="386">
        <v>0</v>
      </c>
      <c r="AW37" s="358">
        <v>0</v>
      </c>
      <c r="AX37" s="356">
        <v>14.333333333333325</v>
      </c>
      <c r="AY37" s="387">
        <f t="shared" si="3"/>
        <v>0.56565656565656586</v>
      </c>
      <c r="AZ37" s="388">
        <f t="shared" si="4"/>
        <v>0.4343434343434342</v>
      </c>
      <c r="BA37" s="287">
        <v>1864695</v>
      </c>
      <c r="BB37" s="287">
        <f t="shared" si="5"/>
        <v>38250.153846153844</v>
      </c>
    </row>
    <row r="38" spans="1:54" ht="15.75" thickBot="1" x14ac:dyDescent="0.3">
      <c r="A38" s="17" t="s">
        <v>990</v>
      </c>
      <c r="B38" s="17" t="s">
        <v>991</v>
      </c>
      <c r="C38" s="97" t="s">
        <v>114</v>
      </c>
      <c r="D38" s="305"/>
      <c r="E38" s="305"/>
      <c r="F38" s="305"/>
      <c r="G38" s="151" t="s">
        <v>57</v>
      </c>
      <c r="H38" s="305"/>
      <c r="I38" s="108"/>
      <c r="J38" s="108"/>
      <c r="K38" s="19"/>
      <c r="L38" s="394">
        <v>48.75</v>
      </c>
      <c r="M38" s="22">
        <v>23</v>
      </c>
      <c r="N38" s="22"/>
      <c r="O38" s="22"/>
      <c r="P38" s="22"/>
      <c r="Q38" s="22">
        <v>2</v>
      </c>
      <c r="R38" s="23">
        <v>1</v>
      </c>
      <c r="S38" s="24">
        <f t="shared" si="7"/>
        <v>26</v>
      </c>
      <c r="T38" s="434">
        <v>9.5</v>
      </c>
      <c r="U38" s="22">
        <v>6.5</v>
      </c>
      <c r="V38" s="22"/>
      <c r="W38" s="157">
        <v>2</v>
      </c>
      <c r="X38" s="22"/>
      <c r="Y38" s="22"/>
      <c r="Z38" s="22"/>
      <c r="AA38" s="22"/>
      <c r="AB38" s="22">
        <v>2</v>
      </c>
      <c r="AC38" s="22">
        <v>2</v>
      </c>
      <c r="AD38" s="22">
        <v>0.75</v>
      </c>
      <c r="AE38" s="22"/>
      <c r="AF38" s="22"/>
      <c r="AG38" s="29"/>
      <c r="AH38" s="28">
        <f t="shared" si="8"/>
        <v>22.75</v>
      </c>
      <c r="AI38" s="38"/>
      <c r="AJ38" s="22"/>
      <c r="AK38" s="22"/>
      <c r="AL38" s="22"/>
      <c r="AM38" s="29"/>
      <c r="AN38" s="30"/>
      <c r="AO38" s="39"/>
      <c r="AP38" s="39"/>
      <c r="AQ38" s="33">
        <v>0</v>
      </c>
      <c r="AR38" s="34">
        <f t="shared" si="9"/>
        <v>48.75</v>
      </c>
      <c r="AS38" s="380">
        <v>-4.9999999999997158E-2</v>
      </c>
      <c r="AT38" s="355">
        <v>33.383333333333333</v>
      </c>
      <c r="AU38" s="356">
        <f t="shared" si="6"/>
        <v>18.666666666666668</v>
      </c>
      <c r="AV38" s="386">
        <v>0</v>
      </c>
      <c r="AW38" s="358">
        <v>0</v>
      </c>
      <c r="AX38" s="356">
        <v>17.383333333333326</v>
      </c>
      <c r="AY38" s="387">
        <f t="shared" si="3"/>
        <v>0.51779935275080913</v>
      </c>
      <c r="AZ38" s="388">
        <f t="shared" si="4"/>
        <v>0.48220064724919076</v>
      </c>
      <c r="BA38" s="287">
        <v>1950000</v>
      </c>
      <c r="BB38" s="287">
        <f t="shared" si="5"/>
        <v>40000</v>
      </c>
    </row>
    <row r="39" spans="1:54" ht="15.75" thickBot="1" x14ac:dyDescent="0.3">
      <c r="A39" s="17" t="s">
        <v>992</v>
      </c>
      <c r="B39" s="17" t="s">
        <v>993</v>
      </c>
      <c r="C39" s="97" t="s">
        <v>54</v>
      </c>
      <c r="D39" s="18"/>
      <c r="E39" s="18"/>
      <c r="F39" s="97" t="s">
        <v>54</v>
      </c>
      <c r="G39" s="151" t="s">
        <v>609</v>
      </c>
      <c r="H39" s="146" t="s">
        <v>609</v>
      </c>
      <c r="I39" s="151"/>
      <c r="J39" s="152"/>
      <c r="K39" s="148"/>
      <c r="L39" s="394">
        <v>23.5</v>
      </c>
      <c r="M39" s="22">
        <v>0</v>
      </c>
      <c r="N39" s="22"/>
      <c r="O39" s="22"/>
      <c r="P39" s="22">
        <v>4</v>
      </c>
      <c r="Q39" s="22"/>
      <c r="R39" s="23">
        <v>1</v>
      </c>
      <c r="S39" s="24">
        <v>5</v>
      </c>
      <c r="T39" s="166">
        <v>2.5</v>
      </c>
      <c r="U39" s="22">
        <v>4</v>
      </c>
      <c r="V39" s="22">
        <v>3</v>
      </c>
      <c r="W39" s="157">
        <v>2</v>
      </c>
      <c r="X39" s="22"/>
      <c r="Y39" s="22"/>
      <c r="Z39" s="149"/>
      <c r="AA39" s="149"/>
      <c r="AB39" s="22">
        <v>2</v>
      </c>
      <c r="AC39" s="22">
        <v>0</v>
      </c>
      <c r="AD39" s="22">
        <v>0</v>
      </c>
      <c r="AE39" s="22"/>
      <c r="AF39" s="22"/>
      <c r="AG39" s="154"/>
      <c r="AH39" s="28">
        <v>13.5</v>
      </c>
      <c r="AI39" s="38"/>
      <c r="AJ39" s="22">
        <v>5</v>
      </c>
      <c r="AK39" s="22"/>
      <c r="AL39" s="22"/>
      <c r="AM39" s="29"/>
      <c r="AN39" s="30">
        <v>5</v>
      </c>
      <c r="AO39" s="39"/>
      <c r="AP39" s="39"/>
      <c r="AQ39" s="33">
        <v>0</v>
      </c>
      <c r="AR39" s="34">
        <v>23.5</v>
      </c>
      <c r="AS39" s="380">
        <v>0</v>
      </c>
      <c r="AT39" s="355">
        <v>18.149999999999999</v>
      </c>
      <c r="AU39" s="356">
        <f t="shared" si="6"/>
        <v>4.666666666666667</v>
      </c>
      <c r="AV39" s="386">
        <v>3.3333333333333335</v>
      </c>
      <c r="AW39" s="358">
        <v>0</v>
      </c>
      <c r="AX39" s="356">
        <v>11.483333333333329</v>
      </c>
      <c r="AY39" s="387">
        <f t="shared" si="3"/>
        <v>0.28895768833849339</v>
      </c>
      <c r="AZ39" s="388">
        <f t="shared" si="4"/>
        <v>0.71104231166150667</v>
      </c>
      <c r="BA39" s="287">
        <v>939474</v>
      </c>
      <c r="BB39" s="287">
        <f t="shared" si="5"/>
        <v>39977.617021276594</v>
      </c>
    </row>
    <row r="40" spans="1:54" ht="15.75" thickBot="1" x14ac:dyDescent="0.3">
      <c r="A40" s="17" t="s">
        <v>994</v>
      </c>
      <c r="B40" s="17" t="s">
        <v>995</v>
      </c>
      <c r="C40" s="97" t="s">
        <v>64</v>
      </c>
      <c r="D40" s="150"/>
      <c r="E40" s="150"/>
      <c r="F40" s="150"/>
      <c r="G40" s="151" t="s">
        <v>57</v>
      </c>
      <c r="H40" s="146"/>
      <c r="I40" s="151"/>
      <c r="J40" s="152"/>
      <c r="K40" s="148"/>
      <c r="L40" s="393">
        <v>48.7</v>
      </c>
      <c r="M40" s="22">
        <v>18</v>
      </c>
      <c r="N40" s="153"/>
      <c r="O40" s="153"/>
      <c r="P40" s="153"/>
      <c r="Q40" s="22">
        <v>1</v>
      </c>
      <c r="R40" s="23">
        <v>1</v>
      </c>
      <c r="S40" s="24">
        <f>SUBTOTAL(9,M40:R40)</f>
        <v>20</v>
      </c>
      <c r="T40" s="434">
        <v>9</v>
      </c>
      <c r="U40" s="22">
        <v>6.5</v>
      </c>
      <c r="V40" s="22"/>
      <c r="W40" s="157">
        <v>2</v>
      </c>
      <c r="X40" s="153"/>
      <c r="Y40" s="153"/>
      <c r="Z40" s="149"/>
      <c r="AA40" s="149"/>
      <c r="AB40" s="22">
        <v>2</v>
      </c>
      <c r="AC40" s="22">
        <v>1</v>
      </c>
      <c r="AD40" s="22">
        <v>0.75</v>
      </c>
      <c r="AE40" s="22"/>
      <c r="AF40" s="22">
        <v>7.5</v>
      </c>
      <c r="AG40" s="154" t="s">
        <v>928</v>
      </c>
      <c r="AH40" s="28">
        <f>SUBTOTAL(9,T40:AF40)</f>
        <v>28.75</v>
      </c>
      <c r="AI40" s="155"/>
      <c r="AJ40" s="153"/>
      <c r="AK40" s="153"/>
      <c r="AL40" s="22"/>
      <c r="AM40" s="29"/>
      <c r="AN40" s="156">
        <v>0</v>
      </c>
      <c r="AO40" s="39"/>
      <c r="AP40" s="39"/>
      <c r="AQ40" s="33">
        <v>0</v>
      </c>
      <c r="AR40" s="34">
        <f>+AQ40+AN40+AH40+S40</f>
        <v>48.75</v>
      </c>
      <c r="AS40" s="380">
        <v>0.20000000000000284</v>
      </c>
      <c r="AT40" s="355">
        <v>33.299999999999997</v>
      </c>
      <c r="AU40" s="356">
        <f t="shared" si="6"/>
        <v>14.666666666666666</v>
      </c>
      <c r="AV40" s="386">
        <v>0</v>
      </c>
      <c r="AW40" s="358">
        <v>0</v>
      </c>
      <c r="AX40" s="356">
        <v>20.633333333333326</v>
      </c>
      <c r="AY40" s="387">
        <f t="shared" si="3"/>
        <v>0.41548630783758272</v>
      </c>
      <c r="AZ40" s="388">
        <f t="shared" si="4"/>
        <v>0.58451369216241733</v>
      </c>
      <c r="BA40" s="287">
        <v>1772606</v>
      </c>
      <c r="BB40" s="287">
        <f t="shared" si="5"/>
        <v>36398.480492813142</v>
      </c>
    </row>
    <row r="41" spans="1:54" ht="15.75" thickBot="1" x14ac:dyDescent="0.3">
      <c r="A41" s="17" t="s">
        <v>996</v>
      </c>
      <c r="B41" s="17" t="s">
        <v>997</v>
      </c>
      <c r="C41" s="97" t="s">
        <v>98</v>
      </c>
      <c r="D41" s="171"/>
      <c r="E41" s="171"/>
      <c r="F41" s="171"/>
      <c r="G41" s="151"/>
      <c r="H41" s="146"/>
      <c r="I41" s="151"/>
      <c r="J41" s="172"/>
      <c r="K41" s="173"/>
      <c r="L41" s="394">
        <v>26</v>
      </c>
      <c r="M41" s="22">
        <v>8</v>
      </c>
      <c r="N41" s="162"/>
      <c r="O41" s="162"/>
      <c r="P41" s="162"/>
      <c r="Q41" s="22"/>
      <c r="R41" s="23"/>
      <c r="S41" s="24">
        <v>8</v>
      </c>
      <c r="T41" s="166">
        <v>4</v>
      </c>
      <c r="U41" s="22"/>
      <c r="V41" s="22"/>
      <c r="W41" s="157">
        <v>2</v>
      </c>
      <c r="X41" s="162"/>
      <c r="Y41" s="162"/>
      <c r="Z41" s="149"/>
      <c r="AA41" s="149"/>
      <c r="AB41" s="22"/>
      <c r="AC41" s="22">
        <v>2</v>
      </c>
      <c r="AD41" s="22">
        <v>1</v>
      </c>
      <c r="AE41" s="22"/>
      <c r="AF41" s="22">
        <v>9</v>
      </c>
      <c r="AG41" s="154" t="s">
        <v>998</v>
      </c>
      <c r="AH41" s="28">
        <v>18</v>
      </c>
      <c r="AI41" s="163"/>
      <c r="AJ41" s="162"/>
      <c r="AK41" s="162"/>
      <c r="AL41" s="22"/>
      <c r="AM41" s="29"/>
      <c r="AN41" s="164">
        <v>0</v>
      </c>
      <c r="AO41" s="39"/>
      <c r="AP41" s="39"/>
      <c r="AQ41" s="33">
        <v>0</v>
      </c>
      <c r="AR41" s="34">
        <v>26</v>
      </c>
      <c r="AS41" s="380">
        <v>0</v>
      </c>
      <c r="AT41" s="355">
        <v>22.133333333333333</v>
      </c>
      <c r="AU41" s="356">
        <f t="shared" si="6"/>
        <v>5.333333333333333</v>
      </c>
      <c r="AV41" s="386">
        <v>0</v>
      </c>
      <c r="AW41" s="358">
        <v>0</v>
      </c>
      <c r="AX41" s="356">
        <v>16.799999999999997</v>
      </c>
      <c r="AY41" s="387">
        <f t="shared" si="3"/>
        <v>0.24096385542168677</v>
      </c>
      <c r="AZ41" s="388">
        <f t="shared" si="4"/>
        <v>0.75903614457831325</v>
      </c>
      <c r="BA41" s="287">
        <v>1287609</v>
      </c>
      <c r="BB41" s="287">
        <f t="shared" si="5"/>
        <v>49523.423076923078</v>
      </c>
    </row>
    <row r="42" spans="1:54" ht="15.75" thickBot="1" x14ac:dyDescent="0.3">
      <c r="A42" s="17" t="s">
        <v>999</v>
      </c>
      <c r="B42" s="17" t="s">
        <v>1000</v>
      </c>
      <c r="C42" s="97" t="s">
        <v>109</v>
      </c>
      <c r="D42" s="18"/>
      <c r="E42" s="18"/>
      <c r="F42" s="18"/>
      <c r="G42" s="151"/>
      <c r="H42" s="146"/>
      <c r="I42" s="151" t="s">
        <v>609</v>
      </c>
      <c r="J42" s="147" t="s">
        <v>155</v>
      </c>
      <c r="K42" s="148" t="s">
        <v>349</v>
      </c>
      <c r="L42" s="394">
        <v>52</v>
      </c>
      <c r="M42" s="22">
        <v>7</v>
      </c>
      <c r="N42" s="22"/>
      <c r="O42" s="22"/>
      <c r="P42" s="22"/>
      <c r="Q42" s="22"/>
      <c r="R42" s="23"/>
      <c r="S42" s="24">
        <v>7</v>
      </c>
      <c r="T42" s="166">
        <v>3.5</v>
      </c>
      <c r="U42" s="22"/>
      <c r="V42" s="22"/>
      <c r="W42" s="157">
        <v>2</v>
      </c>
      <c r="X42" s="22"/>
      <c r="Y42" s="22"/>
      <c r="Z42" s="149"/>
      <c r="AA42" s="149"/>
      <c r="AB42" s="22">
        <v>3</v>
      </c>
      <c r="AC42" s="22">
        <v>5</v>
      </c>
      <c r="AD42" s="22">
        <v>2</v>
      </c>
      <c r="AE42" s="22"/>
      <c r="AF42" s="22"/>
      <c r="AG42" s="154"/>
      <c r="AH42" s="28">
        <v>15.5</v>
      </c>
      <c r="AI42" s="38">
        <v>20.5</v>
      </c>
      <c r="AJ42" s="22"/>
      <c r="AK42" s="22">
        <v>9</v>
      </c>
      <c r="AL42" s="22"/>
      <c r="AM42" s="29"/>
      <c r="AN42" s="30">
        <v>29.5</v>
      </c>
      <c r="AO42" s="39"/>
      <c r="AP42" s="39"/>
      <c r="AQ42" s="33">
        <v>0</v>
      </c>
      <c r="AR42" s="34">
        <v>52</v>
      </c>
      <c r="AS42" s="380">
        <v>0</v>
      </c>
      <c r="AT42" s="355">
        <v>33.1</v>
      </c>
      <c r="AU42" s="356">
        <f t="shared" si="6"/>
        <v>6.666666666666667</v>
      </c>
      <c r="AV42" s="386">
        <v>19.666666666666668</v>
      </c>
      <c r="AW42" s="358">
        <v>0</v>
      </c>
      <c r="AX42" s="356">
        <v>8.7666666666666657</v>
      </c>
      <c r="AY42" s="387">
        <f t="shared" si="3"/>
        <v>0.43196544276457882</v>
      </c>
      <c r="AZ42" s="388">
        <f t="shared" si="4"/>
        <v>0.56803455723542107</v>
      </c>
      <c r="BA42" s="287">
        <v>2910056</v>
      </c>
      <c r="BB42" s="287">
        <f t="shared" si="5"/>
        <v>55962.615384615383</v>
      </c>
    </row>
    <row r="43" spans="1:54" ht="15.75" thickBot="1" x14ac:dyDescent="0.3">
      <c r="A43" s="17" t="s">
        <v>1001</v>
      </c>
      <c r="B43" s="17" t="s">
        <v>1002</v>
      </c>
      <c r="C43" s="97" t="s">
        <v>126</v>
      </c>
      <c r="D43" s="18"/>
      <c r="E43" s="18"/>
      <c r="F43" s="97" t="s">
        <v>126</v>
      </c>
      <c r="G43" s="151"/>
      <c r="H43" s="146"/>
      <c r="I43" s="151"/>
      <c r="J43" s="20"/>
      <c r="K43" s="19"/>
      <c r="L43" s="394">
        <v>28.3</v>
      </c>
      <c r="M43" s="22">
        <v>0</v>
      </c>
      <c r="N43" s="22"/>
      <c r="O43" s="22"/>
      <c r="P43" s="22">
        <v>4</v>
      </c>
      <c r="Q43" s="22"/>
      <c r="R43" s="23"/>
      <c r="S43" s="24">
        <v>4</v>
      </c>
      <c r="T43" s="166">
        <v>1.2</v>
      </c>
      <c r="U43" s="22"/>
      <c r="V43" s="22"/>
      <c r="W43" s="157">
        <v>2</v>
      </c>
      <c r="X43" s="22"/>
      <c r="Y43" s="22">
        <v>21.1</v>
      </c>
      <c r="Z43" s="149"/>
      <c r="AA43" s="149"/>
      <c r="AB43" s="22"/>
      <c r="AC43" s="22"/>
      <c r="AD43" s="22"/>
      <c r="AE43" s="22"/>
      <c r="AF43" s="22"/>
      <c r="AG43" s="154"/>
      <c r="AH43" s="28">
        <v>24.3</v>
      </c>
      <c r="AI43" s="38"/>
      <c r="AJ43" s="22"/>
      <c r="AK43" s="22"/>
      <c r="AL43" s="22"/>
      <c r="AM43" s="29"/>
      <c r="AN43" s="30">
        <v>0</v>
      </c>
      <c r="AO43" s="39"/>
      <c r="AP43" s="39"/>
      <c r="AQ43" s="33">
        <v>0</v>
      </c>
      <c r="AR43" s="34">
        <v>28.3</v>
      </c>
      <c r="AS43" s="380">
        <v>0</v>
      </c>
      <c r="AT43" s="355">
        <v>18.098333333333333</v>
      </c>
      <c r="AU43" s="356">
        <f t="shared" si="6"/>
        <v>2.6666666666666665</v>
      </c>
      <c r="AV43" s="386">
        <v>0</v>
      </c>
      <c r="AW43" s="358">
        <v>0</v>
      </c>
      <c r="AX43" s="356">
        <v>15.431666666666665</v>
      </c>
      <c r="AY43" s="387">
        <f t="shared" si="3"/>
        <v>0.14734321760751451</v>
      </c>
      <c r="AZ43" s="388">
        <f t="shared" si="4"/>
        <v>0.85265678239248544</v>
      </c>
      <c r="BA43" s="287">
        <v>1298175</v>
      </c>
      <c r="BB43" s="287">
        <f t="shared" si="5"/>
        <v>45871.90812720848</v>
      </c>
    </row>
    <row r="44" spans="1:54" ht="15.75" thickBot="1" x14ac:dyDescent="0.3">
      <c r="A44" s="17" t="s">
        <v>1003</v>
      </c>
      <c r="B44" s="17" t="s">
        <v>1004</v>
      </c>
      <c r="C44" s="97" t="s">
        <v>109</v>
      </c>
      <c r="D44" s="18"/>
      <c r="E44" s="18"/>
      <c r="F44" s="97" t="s">
        <v>109</v>
      </c>
      <c r="G44" s="151"/>
      <c r="H44" s="146"/>
      <c r="I44" s="151"/>
      <c r="J44" s="152"/>
      <c r="K44" s="148"/>
      <c r="L44" s="394">
        <v>8</v>
      </c>
      <c r="M44" s="22">
        <v>0</v>
      </c>
      <c r="N44" s="22"/>
      <c r="O44" s="22"/>
      <c r="P44" s="22">
        <v>4</v>
      </c>
      <c r="Q44" s="22"/>
      <c r="R44" s="23"/>
      <c r="S44" s="24">
        <v>4</v>
      </c>
      <c r="T44" s="166">
        <v>2</v>
      </c>
      <c r="U44" s="22"/>
      <c r="V44" s="22"/>
      <c r="W44" s="157">
        <v>2</v>
      </c>
      <c r="X44" s="22"/>
      <c r="Y44" s="22"/>
      <c r="Z44" s="149"/>
      <c r="AA44" s="149"/>
      <c r="AB44" s="22"/>
      <c r="AC44" s="22"/>
      <c r="AD44" s="22"/>
      <c r="AE44" s="22"/>
      <c r="AF44" s="22"/>
      <c r="AG44" s="154"/>
      <c r="AH44" s="28">
        <v>4</v>
      </c>
      <c r="AI44" s="38"/>
      <c r="AJ44" s="22"/>
      <c r="AK44" s="22"/>
      <c r="AL44" s="22"/>
      <c r="AM44" s="29"/>
      <c r="AN44" s="30">
        <v>0</v>
      </c>
      <c r="AO44" s="39"/>
      <c r="AP44" s="39"/>
      <c r="AQ44" s="33">
        <v>0</v>
      </c>
      <c r="AR44" s="34">
        <v>8</v>
      </c>
      <c r="AS44" s="380">
        <v>0</v>
      </c>
      <c r="AT44" s="355">
        <v>28.083333333333332</v>
      </c>
      <c r="AU44" s="356">
        <f t="shared" si="6"/>
        <v>2.6666666666666665</v>
      </c>
      <c r="AV44" s="386">
        <v>0</v>
      </c>
      <c r="AW44" s="358">
        <v>0</v>
      </c>
      <c r="AX44" s="356">
        <v>25.416666666666664</v>
      </c>
      <c r="AY44" s="387">
        <f t="shared" si="3"/>
        <v>9.4955489614243327E-2</v>
      </c>
      <c r="AZ44" s="388">
        <f t="shared" si="4"/>
        <v>0.90504451038575662</v>
      </c>
      <c r="BA44" s="287">
        <v>328000</v>
      </c>
      <c r="BB44" s="287">
        <f t="shared" si="5"/>
        <v>41000</v>
      </c>
    </row>
    <row r="45" spans="1:54" ht="15.75" hidden="1" thickBot="1" x14ac:dyDescent="0.3">
      <c r="A45" s="17" t="s">
        <v>1170</v>
      </c>
      <c r="B45" s="17" t="s">
        <v>1171</v>
      </c>
      <c r="C45" s="97" t="s">
        <v>80</v>
      </c>
      <c r="D45" s="308"/>
      <c r="E45" s="312"/>
      <c r="F45" s="312"/>
      <c r="G45" s="312"/>
      <c r="H45" s="312"/>
      <c r="I45" s="316"/>
      <c r="J45" s="318"/>
      <c r="K45" s="148"/>
      <c r="L45" s="393">
        <v>47</v>
      </c>
      <c r="M45" s="22">
        <v>30</v>
      </c>
      <c r="N45" s="153"/>
      <c r="O45" s="153"/>
      <c r="P45" s="22"/>
      <c r="Q45" s="22"/>
      <c r="R45" s="320"/>
      <c r="S45" s="24">
        <v>30</v>
      </c>
      <c r="T45" s="166">
        <v>15</v>
      </c>
      <c r="U45" s="22"/>
      <c r="V45" s="22"/>
      <c r="W45" s="157">
        <v>2</v>
      </c>
      <c r="X45" s="153"/>
      <c r="Y45" s="153"/>
      <c r="Z45" s="149"/>
      <c r="AA45" s="149"/>
      <c r="AB45" s="22"/>
      <c r="AC45" s="22"/>
      <c r="AD45" s="22"/>
      <c r="AE45" s="22"/>
      <c r="AF45" s="22"/>
      <c r="AG45" s="154"/>
      <c r="AH45" s="28">
        <v>17</v>
      </c>
      <c r="AI45" s="155"/>
      <c r="AJ45" s="153"/>
      <c r="AK45" s="153"/>
      <c r="AL45" s="22"/>
      <c r="AM45" s="29"/>
      <c r="AN45" s="156">
        <v>0</v>
      </c>
      <c r="AO45" s="39"/>
      <c r="AP45" s="39"/>
      <c r="AQ45" s="33">
        <v>0</v>
      </c>
      <c r="AR45" s="34">
        <v>47</v>
      </c>
      <c r="AS45" s="380">
        <v>0</v>
      </c>
      <c r="AT45" s="355">
        <v>32.5</v>
      </c>
      <c r="AU45" s="356">
        <f t="shared" si="6"/>
        <v>20</v>
      </c>
      <c r="AV45" s="386">
        <v>0</v>
      </c>
      <c r="AW45" s="358">
        <v>0</v>
      </c>
      <c r="AX45" s="356">
        <v>12.499999999999993</v>
      </c>
      <c r="AY45" s="387">
        <f t="shared" si="3"/>
        <v>0.61538461538461553</v>
      </c>
      <c r="AZ45" s="388">
        <f t="shared" si="4"/>
        <v>0.38461538461538447</v>
      </c>
      <c r="BA45" s="287">
        <v>1665575</v>
      </c>
      <c r="BB45" s="287">
        <f t="shared" si="5"/>
        <v>35437.765957446805</v>
      </c>
    </row>
    <row r="46" spans="1:54" ht="15.75" thickBot="1" x14ac:dyDescent="0.3">
      <c r="A46" s="17" t="s">
        <v>1005</v>
      </c>
      <c r="B46" s="17" t="s">
        <v>1006</v>
      </c>
      <c r="C46" s="97" t="s">
        <v>47</v>
      </c>
      <c r="D46" s="18"/>
      <c r="E46" s="18"/>
      <c r="F46" s="18"/>
      <c r="G46" s="151" t="s">
        <v>609</v>
      </c>
      <c r="H46" s="146"/>
      <c r="I46" s="146"/>
      <c r="J46" s="152"/>
      <c r="K46" s="148"/>
      <c r="L46" s="393">
        <v>32.5</v>
      </c>
      <c r="M46" s="22">
        <v>14</v>
      </c>
      <c r="N46" s="22"/>
      <c r="O46" s="22"/>
      <c r="P46" s="22"/>
      <c r="Q46" s="22"/>
      <c r="R46" s="23">
        <v>1</v>
      </c>
      <c r="S46" s="24">
        <v>15</v>
      </c>
      <c r="T46" s="166">
        <v>7.5</v>
      </c>
      <c r="U46" s="22">
        <v>4</v>
      </c>
      <c r="V46" s="22">
        <v>3</v>
      </c>
      <c r="W46" s="157">
        <v>2</v>
      </c>
      <c r="X46" s="22"/>
      <c r="Y46" s="22"/>
      <c r="Z46" s="149" t="s">
        <v>57</v>
      </c>
      <c r="AA46" s="149"/>
      <c r="AB46" s="22">
        <v>1</v>
      </c>
      <c r="AC46" s="22"/>
      <c r="AD46" s="22"/>
      <c r="AE46" s="22"/>
      <c r="AF46" s="22"/>
      <c r="AG46" s="154"/>
      <c r="AH46" s="28">
        <v>17.5</v>
      </c>
      <c r="AI46" s="38"/>
      <c r="AJ46" s="22"/>
      <c r="AK46" s="22"/>
      <c r="AL46" s="22"/>
      <c r="AM46" s="29"/>
      <c r="AN46" s="174">
        <v>0</v>
      </c>
      <c r="AO46" s="39"/>
      <c r="AP46" s="39"/>
      <c r="AQ46" s="33">
        <v>0</v>
      </c>
      <c r="AR46" s="34">
        <v>32.5</v>
      </c>
      <c r="AS46" s="380">
        <v>0</v>
      </c>
      <c r="AT46" s="355">
        <v>33.233333333333334</v>
      </c>
      <c r="AU46" s="356">
        <f t="shared" si="6"/>
        <v>10.666666666666666</v>
      </c>
      <c r="AV46" s="386">
        <v>0</v>
      </c>
      <c r="AW46" s="358">
        <v>0</v>
      </c>
      <c r="AX46" s="356">
        <v>23.233333333333331</v>
      </c>
      <c r="AY46" s="387">
        <f t="shared" si="3"/>
        <v>0.31465093411996065</v>
      </c>
      <c r="AZ46" s="388">
        <f t="shared" si="4"/>
        <v>0.6853490658800393</v>
      </c>
      <c r="BA46" s="287">
        <v>1131231</v>
      </c>
      <c r="BB46" s="287">
        <f t="shared" si="5"/>
        <v>34807.107692307691</v>
      </c>
    </row>
    <row r="47" spans="1:54" ht="15.75" thickBot="1" x14ac:dyDescent="0.3">
      <c r="A47" s="17" t="s">
        <v>1007</v>
      </c>
      <c r="B47" s="17" t="s">
        <v>1008</v>
      </c>
      <c r="C47" s="97" t="s">
        <v>64</v>
      </c>
      <c r="D47" s="150"/>
      <c r="E47" s="150"/>
      <c r="F47" s="150"/>
      <c r="G47" s="151"/>
      <c r="H47" s="146"/>
      <c r="I47" s="151" t="s">
        <v>609</v>
      </c>
      <c r="J47" s="147" t="s">
        <v>155</v>
      </c>
      <c r="K47" s="148" t="s">
        <v>303</v>
      </c>
      <c r="L47" s="393">
        <v>52</v>
      </c>
      <c r="M47" s="22" t="s">
        <v>1009</v>
      </c>
      <c r="N47" s="153"/>
      <c r="O47" s="153"/>
      <c r="P47" s="153"/>
      <c r="Q47" s="22"/>
      <c r="R47" s="23"/>
      <c r="S47" s="24">
        <f>SUBTOTAL(9,M47:R47)</f>
        <v>0</v>
      </c>
      <c r="T47" s="166"/>
      <c r="U47" s="22"/>
      <c r="V47" s="22"/>
      <c r="W47" s="157">
        <v>2</v>
      </c>
      <c r="X47" s="153"/>
      <c r="Y47" s="153"/>
      <c r="Z47" s="149"/>
      <c r="AA47" s="149"/>
      <c r="AB47" s="22">
        <v>3</v>
      </c>
      <c r="AC47" s="22">
        <v>1</v>
      </c>
      <c r="AD47" s="22"/>
      <c r="AE47" s="22"/>
      <c r="AF47" s="22"/>
      <c r="AG47" s="154"/>
      <c r="AH47" s="28">
        <f>SUBTOTAL(9,T47:AF47)</f>
        <v>6</v>
      </c>
      <c r="AI47" s="175">
        <v>46</v>
      </c>
      <c r="AJ47" s="176"/>
      <c r="AK47" s="153"/>
      <c r="AL47" s="22"/>
      <c r="AM47" s="29"/>
      <c r="AN47" s="174">
        <v>46</v>
      </c>
      <c r="AO47" s="39"/>
      <c r="AP47" s="39"/>
      <c r="AQ47" s="33">
        <v>0</v>
      </c>
      <c r="AR47" s="34">
        <f>+AQ47+AN47+AH47+S47</f>
        <v>52</v>
      </c>
      <c r="AS47" s="380">
        <v>0</v>
      </c>
      <c r="AT47" s="355">
        <v>33</v>
      </c>
      <c r="AU47" s="356">
        <f t="shared" si="6"/>
        <v>2</v>
      </c>
      <c r="AV47" s="386">
        <v>30.666666666666668</v>
      </c>
      <c r="AW47" s="358">
        <v>0</v>
      </c>
      <c r="AX47" s="356">
        <v>2.3333333333333321</v>
      </c>
      <c r="AY47" s="387">
        <f t="shared" si="3"/>
        <v>0.46153846153846168</v>
      </c>
      <c r="AZ47" s="388">
        <f t="shared" si="4"/>
        <v>0.53846153846153832</v>
      </c>
      <c r="BA47" s="287">
        <v>2554184</v>
      </c>
      <c r="BB47" s="287">
        <f t="shared" si="5"/>
        <v>49118.923076923078</v>
      </c>
    </row>
    <row r="48" spans="1:54" ht="15.75" thickBot="1" x14ac:dyDescent="0.3">
      <c r="A48" s="17" t="s">
        <v>1010</v>
      </c>
      <c r="B48" s="17" t="s">
        <v>1011</v>
      </c>
      <c r="C48" s="97" t="s">
        <v>56</v>
      </c>
      <c r="D48" s="97" t="s">
        <v>47</v>
      </c>
      <c r="E48" s="97"/>
      <c r="F48" s="150"/>
      <c r="G48" s="151" t="s">
        <v>609</v>
      </c>
      <c r="H48" s="146"/>
      <c r="I48" s="151"/>
      <c r="J48" s="152"/>
      <c r="K48" s="148"/>
      <c r="L48" s="394">
        <v>42</v>
      </c>
      <c r="M48" s="22">
        <v>9</v>
      </c>
      <c r="N48" s="22">
        <v>8</v>
      </c>
      <c r="O48" s="22"/>
      <c r="P48" s="153"/>
      <c r="Q48" s="22"/>
      <c r="R48" s="23">
        <v>1</v>
      </c>
      <c r="S48" s="24">
        <v>18</v>
      </c>
      <c r="T48" s="166">
        <v>9</v>
      </c>
      <c r="U48" s="22">
        <v>4</v>
      </c>
      <c r="V48" s="22">
        <v>3</v>
      </c>
      <c r="W48" s="157">
        <v>2</v>
      </c>
      <c r="X48" s="153"/>
      <c r="Y48" s="153"/>
      <c r="Z48" s="149"/>
      <c r="AA48" s="149"/>
      <c r="AB48" s="22">
        <v>1</v>
      </c>
      <c r="AC48" s="22">
        <v>2</v>
      </c>
      <c r="AD48" s="22">
        <v>3</v>
      </c>
      <c r="AE48" s="22"/>
      <c r="AF48" s="22"/>
      <c r="AG48" s="154"/>
      <c r="AH48" s="28">
        <v>24</v>
      </c>
      <c r="AI48" s="175"/>
      <c r="AJ48" s="176"/>
      <c r="AK48" s="153"/>
      <c r="AL48" s="22"/>
      <c r="AM48" s="29"/>
      <c r="AN48" s="174">
        <v>0</v>
      </c>
      <c r="AO48" s="39"/>
      <c r="AP48" s="39"/>
      <c r="AQ48" s="33">
        <v>0</v>
      </c>
      <c r="AR48" s="34">
        <v>42</v>
      </c>
      <c r="AS48" s="380">
        <v>0</v>
      </c>
      <c r="AT48" s="355">
        <v>39.541666666666664</v>
      </c>
      <c r="AU48" s="356">
        <f t="shared" si="6"/>
        <v>12.666666666666666</v>
      </c>
      <c r="AV48" s="386">
        <v>0</v>
      </c>
      <c r="AW48" s="358">
        <v>0</v>
      </c>
      <c r="AX48" s="356">
        <v>27.541666666666657</v>
      </c>
      <c r="AY48" s="387">
        <f t="shared" si="3"/>
        <v>0.31502590673575137</v>
      </c>
      <c r="AZ48" s="388">
        <f t="shared" si="4"/>
        <v>0.68497409326424863</v>
      </c>
      <c r="BA48" s="287">
        <v>2232446</v>
      </c>
      <c r="BB48" s="287">
        <f t="shared" si="5"/>
        <v>53153.476190476191</v>
      </c>
    </row>
    <row r="49" spans="1:54" ht="15.75" thickBot="1" x14ac:dyDescent="0.3">
      <c r="A49" s="17" t="s">
        <v>1012</v>
      </c>
      <c r="B49" s="17" t="s">
        <v>1013</v>
      </c>
      <c r="C49" s="97" t="s">
        <v>114</v>
      </c>
      <c r="D49" s="309"/>
      <c r="E49" s="309"/>
      <c r="F49" s="309"/>
      <c r="G49" s="151" t="s">
        <v>57</v>
      </c>
      <c r="H49" s="315"/>
      <c r="I49" s="178"/>
      <c r="J49" s="177"/>
      <c r="K49" s="148"/>
      <c r="L49" s="393">
        <v>49</v>
      </c>
      <c r="M49" s="22">
        <v>23</v>
      </c>
      <c r="N49" s="153"/>
      <c r="O49" s="153"/>
      <c r="P49" s="153"/>
      <c r="Q49" s="22">
        <v>2</v>
      </c>
      <c r="R49" s="23">
        <v>1</v>
      </c>
      <c r="S49" s="24">
        <f t="shared" ref="S49:S50" si="10">SUBTOTAL(9,M49:R49)</f>
        <v>26</v>
      </c>
      <c r="T49" s="434">
        <v>11.5</v>
      </c>
      <c r="U49" s="22">
        <v>6.5</v>
      </c>
      <c r="V49" s="22"/>
      <c r="W49" s="157"/>
      <c r="X49" s="153"/>
      <c r="Y49" s="153"/>
      <c r="Z49" s="149"/>
      <c r="AA49" s="149"/>
      <c r="AB49" s="22"/>
      <c r="AC49" s="22"/>
      <c r="AD49" s="22"/>
      <c r="AE49" s="22"/>
      <c r="AF49" s="22">
        <v>4.75</v>
      </c>
      <c r="AG49" s="154" t="s">
        <v>928</v>
      </c>
      <c r="AH49" s="28">
        <f t="shared" ref="AH49:AH50" si="11">SUBTOTAL(9,T49:AF49)</f>
        <v>22.75</v>
      </c>
      <c r="AI49" s="175"/>
      <c r="AJ49" s="176"/>
      <c r="AK49" s="153"/>
      <c r="AL49" s="22"/>
      <c r="AM49" s="29"/>
      <c r="AN49" s="174">
        <v>0</v>
      </c>
      <c r="AO49" s="39"/>
      <c r="AP49" s="39"/>
      <c r="AQ49" s="33">
        <v>0</v>
      </c>
      <c r="AR49" s="34">
        <f t="shared" ref="AR49:AR50" si="12">+AQ49+AN49+AH49+S49</f>
        <v>48.75</v>
      </c>
      <c r="AS49" s="380">
        <v>0.20000000000000284</v>
      </c>
      <c r="AT49" s="355">
        <v>34.216666666666669</v>
      </c>
      <c r="AU49" s="356">
        <f t="shared" si="6"/>
        <v>17.333333333333332</v>
      </c>
      <c r="AV49" s="386">
        <v>0</v>
      </c>
      <c r="AW49" s="358">
        <v>0</v>
      </c>
      <c r="AX49" s="356">
        <v>18.216666666666661</v>
      </c>
      <c r="AY49" s="387">
        <f t="shared" si="3"/>
        <v>0.48757618377871542</v>
      </c>
      <c r="AZ49" s="388">
        <f t="shared" si="4"/>
        <v>0.51242381622128452</v>
      </c>
      <c r="BA49" s="287">
        <v>1549031</v>
      </c>
      <c r="BB49" s="287">
        <f t="shared" si="5"/>
        <v>31612.877551020407</v>
      </c>
    </row>
    <row r="50" spans="1:54" ht="15.75" thickBot="1" x14ac:dyDescent="0.3">
      <c r="A50" s="17" t="s">
        <v>1014</v>
      </c>
      <c r="B50" s="17" t="s">
        <v>1015</v>
      </c>
      <c r="C50" s="97" t="s">
        <v>64</v>
      </c>
      <c r="D50" s="150"/>
      <c r="E50" s="150"/>
      <c r="F50" s="150"/>
      <c r="G50" s="151"/>
      <c r="H50" s="146"/>
      <c r="I50" s="151" t="s">
        <v>609</v>
      </c>
      <c r="J50" s="147" t="s">
        <v>205</v>
      </c>
      <c r="K50" s="148" t="s">
        <v>303</v>
      </c>
      <c r="L50" s="394">
        <v>40</v>
      </c>
      <c r="M50" s="22" t="s">
        <v>1009</v>
      </c>
      <c r="N50" s="153"/>
      <c r="O50" s="153"/>
      <c r="P50" s="153"/>
      <c r="Q50" s="22"/>
      <c r="R50" s="23"/>
      <c r="S50" s="24">
        <f t="shared" si="10"/>
        <v>0</v>
      </c>
      <c r="T50" s="166"/>
      <c r="U50" s="22"/>
      <c r="V50" s="22"/>
      <c r="W50" s="157">
        <v>2</v>
      </c>
      <c r="X50" s="153"/>
      <c r="Y50" s="153"/>
      <c r="Z50" s="149"/>
      <c r="AA50" s="149"/>
      <c r="AB50" s="22">
        <v>3</v>
      </c>
      <c r="AC50" s="22">
        <v>1</v>
      </c>
      <c r="AD50" s="22"/>
      <c r="AE50" s="22"/>
      <c r="AF50" s="22"/>
      <c r="AG50" s="154"/>
      <c r="AH50" s="28">
        <f t="shared" si="11"/>
        <v>6</v>
      </c>
      <c r="AI50" s="175">
        <v>34</v>
      </c>
      <c r="AJ50" s="176"/>
      <c r="AK50" s="153"/>
      <c r="AL50" s="22"/>
      <c r="AM50" s="29"/>
      <c r="AN50" s="174">
        <v>34</v>
      </c>
      <c r="AO50" s="39"/>
      <c r="AP50" s="39"/>
      <c r="AQ50" s="33">
        <v>0</v>
      </c>
      <c r="AR50" s="34">
        <f t="shared" si="12"/>
        <v>40</v>
      </c>
      <c r="AS50" s="380">
        <v>0</v>
      </c>
      <c r="AT50" s="355">
        <v>29</v>
      </c>
      <c r="AU50" s="356">
        <f t="shared" si="6"/>
        <v>2</v>
      </c>
      <c r="AV50" s="386">
        <v>22.666666666666668</v>
      </c>
      <c r="AW50" s="358">
        <v>0</v>
      </c>
      <c r="AX50" s="356">
        <v>6.3333333333333321</v>
      </c>
      <c r="AY50" s="387">
        <f t="shared" si="3"/>
        <v>0.24000000000000005</v>
      </c>
      <c r="AZ50" s="388">
        <f t="shared" si="4"/>
        <v>0.76</v>
      </c>
      <c r="BA50" s="287">
        <v>1576970</v>
      </c>
      <c r="BB50" s="287">
        <f t="shared" si="5"/>
        <v>39424.25</v>
      </c>
    </row>
    <row r="51" spans="1:54" ht="15.75" thickBot="1" x14ac:dyDescent="0.3">
      <c r="A51" s="17" t="s">
        <v>1016</v>
      </c>
      <c r="B51" s="17" t="s">
        <v>1017</v>
      </c>
      <c r="C51" s="97" t="s">
        <v>54</v>
      </c>
      <c r="D51" s="18"/>
      <c r="E51" s="18"/>
      <c r="F51" s="18"/>
      <c r="G51" s="151"/>
      <c r="H51" s="146"/>
      <c r="I51" s="151"/>
      <c r="J51" s="152"/>
      <c r="K51" s="148"/>
      <c r="L51" s="393">
        <v>22</v>
      </c>
      <c r="M51" s="22">
        <v>12</v>
      </c>
      <c r="N51" s="22"/>
      <c r="O51" s="22"/>
      <c r="P51" s="22"/>
      <c r="Q51" s="22"/>
      <c r="R51" s="23"/>
      <c r="S51" s="24">
        <v>12</v>
      </c>
      <c r="T51" s="25">
        <v>6</v>
      </c>
      <c r="U51" s="22"/>
      <c r="V51" s="22"/>
      <c r="W51" s="157">
        <v>2</v>
      </c>
      <c r="X51" s="22"/>
      <c r="Y51" s="22"/>
      <c r="Z51" s="149"/>
      <c r="AA51" s="149"/>
      <c r="AB51" s="22">
        <v>2</v>
      </c>
      <c r="AC51" s="22">
        <v>0</v>
      </c>
      <c r="AD51" s="22">
        <v>0</v>
      </c>
      <c r="AE51" s="22"/>
      <c r="AF51" s="22"/>
      <c r="AG51" s="154"/>
      <c r="AH51" s="28">
        <v>10</v>
      </c>
      <c r="AI51" s="175"/>
      <c r="AJ51" s="176"/>
      <c r="AK51" s="22"/>
      <c r="AL51" s="22"/>
      <c r="AM51" s="29"/>
      <c r="AN51" s="174">
        <v>0</v>
      </c>
      <c r="AO51" s="39"/>
      <c r="AP51" s="39"/>
      <c r="AQ51" s="33">
        <v>0</v>
      </c>
      <c r="AR51" s="34">
        <v>22</v>
      </c>
      <c r="AS51" s="380">
        <v>0</v>
      </c>
      <c r="AT51" s="355">
        <v>15.2</v>
      </c>
      <c r="AU51" s="356">
        <f t="shared" si="6"/>
        <v>9.3333333333333339</v>
      </c>
      <c r="AV51" s="386">
        <v>0</v>
      </c>
      <c r="AW51" s="358">
        <v>0</v>
      </c>
      <c r="AX51" s="356">
        <v>7.1999999999999957</v>
      </c>
      <c r="AY51" s="387">
        <f t="shared" si="3"/>
        <v>0.56451612903225812</v>
      </c>
      <c r="AZ51" s="388">
        <f t="shared" si="4"/>
        <v>0.43548387096774172</v>
      </c>
      <c r="BA51" s="287">
        <v>748000</v>
      </c>
      <c r="BB51" s="287">
        <f t="shared" si="5"/>
        <v>34000</v>
      </c>
    </row>
    <row r="52" spans="1:54" ht="15.75" thickBot="1" x14ac:dyDescent="0.3">
      <c r="A52" s="17" t="s">
        <v>1018</v>
      </c>
      <c r="B52" s="17" t="s">
        <v>1019</v>
      </c>
      <c r="C52" s="97" t="s">
        <v>114</v>
      </c>
      <c r="D52" s="150"/>
      <c r="E52" s="150"/>
      <c r="F52" s="150"/>
      <c r="G52" s="151"/>
      <c r="H52" s="146"/>
      <c r="I52" s="151" t="s">
        <v>609</v>
      </c>
      <c r="J52" s="147" t="s">
        <v>155</v>
      </c>
      <c r="K52" s="148" t="s">
        <v>303</v>
      </c>
      <c r="L52" s="394">
        <v>48</v>
      </c>
      <c r="M52" s="22" t="s">
        <v>1009</v>
      </c>
      <c r="N52" s="153"/>
      <c r="O52" s="153"/>
      <c r="P52" s="153"/>
      <c r="Q52" s="22"/>
      <c r="R52" s="23"/>
      <c r="S52" s="24">
        <f>SUBTOTAL(9,M52:R52)</f>
        <v>0</v>
      </c>
      <c r="T52" s="25"/>
      <c r="U52" s="22"/>
      <c r="V52" s="22"/>
      <c r="W52" s="157">
        <v>2</v>
      </c>
      <c r="X52" s="153"/>
      <c r="Y52" s="153"/>
      <c r="Z52" s="149"/>
      <c r="AA52" s="149"/>
      <c r="AB52" s="22">
        <v>3</v>
      </c>
      <c r="AC52" s="22">
        <v>1</v>
      </c>
      <c r="AD52" s="22"/>
      <c r="AE52" s="22"/>
      <c r="AF52" s="22"/>
      <c r="AG52" s="154"/>
      <c r="AH52" s="28">
        <f>SUBTOTAL(9,T52:AF52)</f>
        <v>6</v>
      </c>
      <c r="AI52" s="175">
        <v>34</v>
      </c>
      <c r="AJ52" s="176">
        <v>8</v>
      </c>
      <c r="AK52" s="153"/>
      <c r="AL52" s="22"/>
      <c r="AM52" s="29"/>
      <c r="AN52" s="174">
        <v>42</v>
      </c>
      <c r="AO52" s="39"/>
      <c r="AP52" s="39"/>
      <c r="AQ52" s="33">
        <v>0</v>
      </c>
      <c r="AR52" s="34">
        <f>+AQ52+AN52+AH52+S52</f>
        <v>48</v>
      </c>
      <c r="AS52" s="380">
        <v>0</v>
      </c>
      <c r="AT52" s="355">
        <v>34</v>
      </c>
      <c r="AU52" s="356">
        <f t="shared" si="6"/>
        <v>2</v>
      </c>
      <c r="AV52" s="386">
        <v>28</v>
      </c>
      <c r="AW52" s="358">
        <v>0</v>
      </c>
      <c r="AX52" s="356">
        <v>6</v>
      </c>
      <c r="AY52" s="387">
        <f t="shared" si="3"/>
        <v>0.25</v>
      </c>
      <c r="AZ52" s="388">
        <f t="shared" si="4"/>
        <v>0.75</v>
      </c>
      <c r="BA52" s="287">
        <v>2018688</v>
      </c>
      <c r="BB52" s="287">
        <f t="shared" si="5"/>
        <v>42056</v>
      </c>
    </row>
    <row r="53" spans="1:54" ht="15.75" hidden="1" thickBot="1" x14ac:dyDescent="0.3">
      <c r="A53" s="17" t="s">
        <v>1172</v>
      </c>
      <c r="B53" s="17" t="s">
        <v>1173</v>
      </c>
      <c r="C53" s="97" t="s">
        <v>80</v>
      </c>
      <c r="D53" s="150"/>
      <c r="E53" s="310"/>
      <c r="F53" s="310"/>
      <c r="G53" s="312"/>
      <c r="H53" s="310"/>
      <c r="I53" s="151"/>
      <c r="J53" s="152"/>
      <c r="K53" s="148"/>
      <c r="L53" s="393">
        <v>47</v>
      </c>
      <c r="M53" s="22">
        <v>30</v>
      </c>
      <c r="N53" s="153"/>
      <c r="O53" s="153"/>
      <c r="P53" s="22"/>
      <c r="Q53" s="22"/>
      <c r="R53" s="320"/>
      <c r="S53" s="24">
        <v>30</v>
      </c>
      <c r="T53" s="25">
        <v>15</v>
      </c>
      <c r="U53" s="22"/>
      <c r="V53" s="22"/>
      <c r="W53" s="157">
        <v>2</v>
      </c>
      <c r="X53" s="153"/>
      <c r="Y53" s="153"/>
      <c r="Z53" s="149"/>
      <c r="AA53" s="149"/>
      <c r="AB53" s="22"/>
      <c r="AC53" s="22"/>
      <c r="AD53" s="22"/>
      <c r="AE53" s="22"/>
      <c r="AF53" s="22"/>
      <c r="AG53" s="154"/>
      <c r="AH53" s="28">
        <v>17</v>
      </c>
      <c r="AI53" s="175"/>
      <c r="AJ53" s="176"/>
      <c r="AK53" s="153"/>
      <c r="AL53" s="22"/>
      <c r="AM53" s="29"/>
      <c r="AN53" s="156">
        <v>0</v>
      </c>
      <c r="AO53" s="39"/>
      <c r="AP53" s="39"/>
      <c r="AQ53" s="33">
        <v>0</v>
      </c>
      <c r="AR53" s="34">
        <v>47</v>
      </c>
      <c r="AS53" s="380">
        <v>0</v>
      </c>
      <c r="AT53" s="355">
        <v>32.5</v>
      </c>
      <c r="AU53" s="356">
        <f t="shared" si="6"/>
        <v>20</v>
      </c>
      <c r="AV53" s="386">
        <v>0</v>
      </c>
      <c r="AW53" s="358">
        <v>0</v>
      </c>
      <c r="AX53" s="356">
        <v>12.499999999999993</v>
      </c>
      <c r="AY53" s="387">
        <f t="shared" si="3"/>
        <v>0.61538461538461553</v>
      </c>
      <c r="AZ53" s="388">
        <f t="shared" si="4"/>
        <v>0.38461538461538447</v>
      </c>
      <c r="BA53" s="287">
        <v>1515212</v>
      </c>
      <c r="BB53" s="287">
        <f t="shared" si="5"/>
        <v>32238.553191489362</v>
      </c>
    </row>
    <row r="54" spans="1:54" ht="15.75" thickBot="1" x14ac:dyDescent="0.3">
      <c r="A54" s="17" t="s">
        <v>1020</v>
      </c>
      <c r="B54" s="17" t="s">
        <v>1021</v>
      </c>
      <c r="C54" s="97" t="s">
        <v>74</v>
      </c>
      <c r="D54" s="179"/>
      <c r="E54" s="179"/>
      <c r="F54" s="97" t="s">
        <v>74</v>
      </c>
      <c r="G54" s="151" t="s">
        <v>609</v>
      </c>
      <c r="H54" s="146"/>
      <c r="I54" s="151"/>
      <c r="J54" s="160"/>
      <c r="K54" s="161"/>
      <c r="L54" s="393">
        <v>38</v>
      </c>
      <c r="M54" s="22">
        <v>12</v>
      </c>
      <c r="N54" s="162"/>
      <c r="O54" s="162"/>
      <c r="P54" s="176">
        <v>4</v>
      </c>
      <c r="Q54" s="22"/>
      <c r="R54" s="23">
        <v>1</v>
      </c>
      <c r="S54" s="24">
        <v>17</v>
      </c>
      <c r="T54" s="25">
        <v>8.5</v>
      </c>
      <c r="U54" s="22">
        <v>4</v>
      </c>
      <c r="V54" s="22">
        <v>3</v>
      </c>
      <c r="W54" s="157">
        <v>2</v>
      </c>
      <c r="X54" s="162"/>
      <c r="Y54" s="162"/>
      <c r="Z54" s="149"/>
      <c r="AA54" s="149"/>
      <c r="AB54" s="22">
        <v>2</v>
      </c>
      <c r="AC54" s="22">
        <v>1</v>
      </c>
      <c r="AD54" s="22">
        <v>0.5</v>
      </c>
      <c r="AE54" s="22"/>
      <c r="AF54" s="22"/>
      <c r="AG54" s="154"/>
      <c r="AH54" s="28">
        <v>21</v>
      </c>
      <c r="AI54" s="163"/>
      <c r="AJ54" s="162"/>
      <c r="AK54" s="162"/>
      <c r="AL54" s="22"/>
      <c r="AM54" s="29"/>
      <c r="AN54" s="164">
        <v>0</v>
      </c>
      <c r="AO54" s="39"/>
      <c r="AP54" s="39"/>
      <c r="AQ54" s="33">
        <v>0</v>
      </c>
      <c r="AR54" s="34">
        <v>38</v>
      </c>
      <c r="AS54" s="380">
        <v>0</v>
      </c>
      <c r="AT54" s="355">
        <v>26.283333333333335</v>
      </c>
      <c r="AU54" s="356">
        <f t="shared" si="6"/>
        <v>12.666666666666666</v>
      </c>
      <c r="AV54" s="386">
        <v>0</v>
      </c>
      <c r="AW54" s="358">
        <v>0</v>
      </c>
      <c r="AX54" s="356">
        <v>14.949999999999996</v>
      </c>
      <c r="AY54" s="387">
        <f t="shared" si="3"/>
        <v>0.45866022933011474</v>
      </c>
      <c r="AZ54" s="388">
        <f t="shared" si="4"/>
        <v>0.54133977066988526</v>
      </c>
      <c r="BA54" s="287">
        <v>1594062</v>
      </c>
      <c r="BB54" s="287">
        <f t="shared" si="5"/>
        <v>41949</v>
      </c>
    </row>
    <row r="55" spans="1:54" ht="15.75" thickBot="1" x14ac:dyDescent="0.3">
      <c r="A55" s="17" t="s">
        <v>1022</v>
      </c>
      <c r="B55" s="17" t="s">
        <v>1023</v>
      </c>
      <c r="C55" s="306" t="s">
        <v>55</v>
      </c>
      <c r="D55" s="17"/>
      <c r="E55" s="17"/>
      <c r="F55" s="17"/>
      <c r="G55" s="151" t="s">
        <v>609</v>
      </c>
      <c r="H55" s="151"/>
      <c r="I55" s="316"/>
      <c r="J55" s="319"/>
      <c r="K55" s="19"/>
      <c r="L55" s="394">
        <v>26.5</v>
      </c>
      <c r="M55" s="22">
        <v>10</v>
      </c>
      <c r="N55" s="22"/>
      <c r="O55" s="22"/>
      <c r="P55" s="22"/>
      <c r="Q55" s="22"/>
      <c r="R55" s="23">
        <v>1</v>
      </c>
      <c r="S55" s="24">
        <v>11</v>
      </c>
      <c r="T55" s="25">
        <v>6.5</v>
      </c>
      <c r="U55" s="22">
        <v>4</v>
      </c>
      <c r="V55" s="22">
        <v>3</v>
      </c>
      <c r="W55" s="157">
        <v>2</v>
      </c>
      <c r="X55" s="22"/>
      <c r="Y55" s="22"/>
      <c r="Z55" s="149"/>
      <c r="AA55" s="149"/>
      <c r="AB55" s="22">
        <v>0</v>
      </c>
      <c r="AC55" s="22">
        <v>0</v>
      </c>
      <c r="AD55" s="22">
        <v>0</v>
      </c>
      <c r="AE55" s="22"/>
      <c r="AF55" s="22"/>
      <c r="AG55" s="154"/>
      <c r="AH55" s="28">
        <v>15.5</v>
      </c>
      <c r="AI55" s="38"/>
      <c r="AJ55" s="22"/>
      <c r="AK55" s="22"/>
      <c r="AL55" s="22"/>
      <c r="AM55" s="29"/>
      <c r="AN55" s="30">
        <v>0</v>
      </c>
      <c r="AO55" s="39"/>
      <c r="AP55" s="39"/>
      <c r="AQ55" s="33">
        <v>0</v>
      </c>
      <c r="AR55" s="34">
        <v>26.5</v>
      </c>
      <c r="AS55" s="380">
        <v>0</v>
      </c>
      <c r="AT55" s="355">
        <v>30.233333333333334</v>
      </c>
      <c r="AU55" s="356">
        <f t="shared" si="6"/>
        <v>7.333333333333333</v>
      </c>
      <c r="AV55" s="386">
        <v>0</v>
      </c>
      <c r="AW55" s="358">
        <v>0</v>
      </c>
      <c r="AX55" s="356">
        <v>22.9</v>
      </c>
      <c r="AY55" s="387">
        <f t="shared" si="3"/>
        <v>0.24255788313120177</v>
      </c>
      <c r="AZ55" s="388">
        <f t="shared" si="4"/>
        <v>0.75744211686879825</v>
      </c>
      <c r="BA55" s="287">
        <v>1045756</v>
      </c>
      <c r="BB55" s="287">
        <f t="shared" si="5"/>
        <v>39462.490566037734</v>
      </c>
    </row>
    <row r="56" spans="1:54" ht="15.75" thickBot="1" x14ac:dyDescent="0.3">
      <c r="A56" s="17" t="s">
        <v>1024</v>
      </c>
      <c r="B56" s="17" t="s">
        <v>1025</v>
      </c>
      <c r="C56" s="97" t="s">
        <v>99</v>
      </c>
      <c r="D56" s="18"/>
      <c r="E56" s="18"/>
      <c r="F56" s="97" t="s">
        <v>99</v>
      </c>
      <c r="G56" s="151" t="s">
        <v>609</v>
      </c>
      <c r="H56" s="146"/>
      <c r="I56" s="151"/>
      <c r="J56" s="152"/>
      <c r="K56" s="148"/>
      <c r="L56" s="394">
        <v>17.7</v>
      </c>
      <c r="M56" s="22">
        <v>0</v>
      </c>
      <c r="N56" s="22"/>
      <c r="O56" s="22"/>
      <c r="P56" s="22">
        <v>4</v>
      </c>
      <c r="Q56" s="22"/>
      <c r="R56" s="23">
        <v>1</v>
      </c>
      <c r="S56" s="24">
        <v>5</v>
      </c>
      <c r="T56" s="25">
        <v>1.7</v>
      </c>
      <c r="U56" s="22">
        <v>4</v>
      </c>
      <c r="V56" s="22">
        <v>3</v>
      </c>
      <c r="W56" s="157">
        <v>2</v>
      </c>
      <c r="X56" s="22"/>
      <c r="Y56" s="22"/>
      <c r="Z56" s="149"/>
      <c r="AA56" s="149"/>
      <c r="AB56" s="22">
        <v>1</v>
      </c>
      <c r="AC56" s="22">
        <v>1</v>
      </c>
      <c r="AD56" s="22">
        <v>0</v>
      </c>
      <c r="AE56" s="22"/>
      <c r="AF56" s="22"/>
      <c r="AG56" s="154"/>
      <c r="AH56" s="28">
        <v>12.7</v>
      </c>
      <c r="AI56" s="38"/>
      <c r="AJ56" s="22"/>
      <c r="AK56" s="22"/>
      <c r="AL56" s="22"/>
      <c r="AM56" s="29"/>
      <c r="AN56" s="30">
        <v>0</v>
      </c>
      <c r="AO56" s="39"/>
      <c r="AP56" s="39"/>
      <c r="AQ56" s="33">
        <v>0</v>
      </c>
      <c r="AR56" s="34">
        <v>17.7</v>
      </c>
      <c r="AS56" s="380">
        <v>0</v>
      </c>
      <c r="AT56" s="355">
        <v>16.083333333333332</v>
      </c>
      <c r="AU56" s="356">
        <f t="shared" si="6"/>
        <v>4</v>
      </c>
      <c r="AV56" s="386">
        <v>0</v>
      </c>
      <c r="AW56" s="358">
        <v>0</v>
      </c>
      <c r="AX56" s="356">
        <v>12.749999999999996</v>
      </c>
      <c r="AY56" s="387">
        <f t="shared" si="3"/>
        <v>0.23880597014925378</v>
      </c>
      <c r="AZ56" s="388">
        <f t="shared" si="4"/>
        <v>0.76119402985074625</v>
      </c>
      <c r="BA56" s="287">
        <v>784409</v>
      </c>
      <c r="BB56" s="287">
        <f t="shared" si="5"/>
        <v>44316.892655367235</v>
      </c>
    </row>
    <row r="57" spans="1:54" ht="15.75" thickBot="1" x14ac:dyDescent="0.3">
      <c r="A57" s="17" t="s">
        <v>1026</v>
      </c>
      <c r="B57" s="17" t="s">
        <v>1027</v>
      </c>
      <c r="C57" s="97" t="s">
        <v>56</v>
      </c>
      <c r="D57" s="150"/>
      <c r="E57" s="150"/>
      <c r="F57" s="150"/>
      <c r="G57" s="151" t="s">
        <v>609</v>
      </c>
      <c r="H57" s="146"/>
      <c r="I57" s="151"/>
      <c r="J57" s="152"/>
      <c r="K57" s="148"/>
      <c r="L57" s="394">
        <v>32.5</v>
      </c>
      <c r="M57" s="22">
        <v>12</v>
      </c>
      <c r="N57" s="153"/>
      <c r="O57" s="153"/>
      <c r="P57" s="153"/>
      <c r="Q57" s="22"/>
      <c r="R57" s="23">
        <v>1</v>
      </c>
      <c r="S57" s="24">
        <v>13</v>
      </c>
      <c r="T57" s="25">
        <v>6.5</v>
      </c>
      <c r="U57" s="22">
        <v>4</v>
      </c>
      <c r="V57" s="22">
        <v>3</v>
      </c>
      <c r="W57" s="157">
        <v>2</v>
      </c>
      <c r="X57" s="153"/>
      <c r="Y57" s="153"/>
      <c r="Z57" s="149"/>
      <c r="AA57" s="149"/>
      <c r="AB57" s="22"/>
      <c r="AC57" s="22">
        <v>2</v>
      </c>
      <c r="AD57" s="22">
        <v>2</v>
      </c>
      <c r="AE57" s="22"/>
      <c r="AF57" s="22"/>
      <c r="AG57" s="154"/>
      <c r="AH57" s="28">
        <v>19.5</v>
      </c>
      <c r="AI57" s="155"/>
      <c r="AJ57" s="153"/>
      <c r="AK57" s="153"/>
      <c r="AL57" s="22"/>
      <c r="AM57" s="29"/>
      <c r="AN57" s="156">
        <v>0</v>
      </c>
      <c r="AO57" s="39"/>
      <c r="AP57" s="39"/>
      <c r="AQ57" s="33">
        <v>0</v>
      </c>
      <c r="AR57" s="34">
        <v>32.5</v>
      </c>
      <c r="AS57" s="380">
        <v>0</v>
      </c>
      <c r="AT57" s="355">
        <v>24.3</v>
      </c>
      <c r="AU57" s="356">
        <f t="shared" si="6"/>
        <v>8.6666666666666661</v>
      </c>
      <c r="AV57" s="386">
        <v>0</v>
      </c>
      <c r="AW57" s="358">
        <v>0</v>
      </c>
      <c r="AX57" s="356">
        <v>15.633333333333329</v>
      </c>
      <c r="AY57" s="387">
        <f t="shared" si="3"/>
        <v>0.35665294924554186</v>
      </c>
      <c r="AZ57" s="388">
        <f t="shared" si="4"/>
        <v>0.64334705075445808</v>
      </c>
      <c r="BA57" s="287">
        <v>1421997</v>
      </c>
      <c r="BB57" s="287">
        <f t="shared" si="5"/>
        <v>43753.75384615385</v>
      </c>
    </row>
    <row r="58" spans="1:54" ht="15.75" hidden="1" thickBot="1" x14ac:dyDescent="0.3">
      <c r="A58" s="17" t="s">
        <v>1174</v>
      </c>
      <c r="B58" s="17" t="s">
        <v>1175</v>
      </c>
      <c r="C58" s="97" t="s">
        <v>80</v>
      </c>
      <c r="D58" s="97" t="s">
        <v>56</v>
      </c>
      <c r="E58" s="310"/>
      <c r="F58" s="310"/>
      <c r="G58" s="312"/>
      <c r="H58" s="310"/>
      <c r="I58" s="151" t="s">
        <v>609</v>
      </c>
      <c r="J58" s="147" t="s">
        <v>205</v>
      </c>
      <c r="K58" s="148" t="s">
        <v>762</v>
      </c>
      <c r="L58" s="393">
        <v>48.8</v>
      </c>
      <c r="M58" s="22">
        <v>6</v>
      </c>
      <c r="N58" s="153"/>
      <c r="O58" s="153"/>
      <c r="P58" s="22"/>
      <c r="Q58" s="22"/>
      <c r="R58" s="320"/>
      <c r="S58" s="24">
        <v>6</v>
      </c>
      <c r="T58" s="25">
        <v>3</v>
      </c>
      <c r="U58" s="22"/>
      <c r="V58" s="22"/>
      <c r="W58" s="157">
        <v>2</v>
      </c>
      <c r="X58" s="153"/>
      <c r="Y58" s="153"/>
      <c r="Z58" s="149"/>
      <c r="AA58" s="149"/>
      <c r="AB58" s="22">
        <v>2</v>
      </c>
      <c r="AC58" s="22">
        <v>1</v>
      </c>
      <c r="AD58" s="22">
        <v>1</v>
      </c>
      <c r="AE58" s="22"/>
      <c r="AF58" s="22"/>
      <c r="AG58" s="154"/>
      <c r="AH58" s="28">
        <v>9</v>
      </c>
      <c r="AI58" s="175">
        <v>34</v>
      </c>
      <c r="AJ58" s="176"/>
      <c r="AK58" s="176"/>
      <c r="AL58" s="176"/>
      <c r="AM58" s="284"/>
      <c r="AN58" s="180">
        <v>34</v>
      </c>
      <c r="AO58" s="39"/>
      <c r="AP58" s="39"/>
      <c r="AQ58" s="33">
        <v>0</v>
      </c>
      <c r="AR58" s="34">
        <v>49</v>
      </c>
      <c r="AS58" s="380">
        <v>-0.20000000000000284</v>
      </c>
      <c r="AT58" s="355">
        <v>34.25</v>
      </c>
      <c r="AU58" s="356">
        <f t="shared" si="6"/>
        <v>5.333333333333333</v>
      </c>
      <c r="AV58" s="386">
        <v>22.666666666666668</v>
      </c>
      <c r="AW58" s="358">
        <v>0</v>
      </c>
      <c r="AX58" s="356">
        <v>7.5833333333333321</v>
      </c>
      <c r="AY58" s="387">
        <f t="shared" si="3"/>
        <v>0.41290322580645167</v>
      </c>
      <c r="AZ58" s="388">
        <f t="shared" si="4"/>
        <v>0.58709677419354844</v>
      </c>
      <c r="BA58" s="287">
        <v>2057403</v>
      </c>
      <c r="BB58" s="287">
        <f t="shared" si="5"/>
        <v>42159.897540983606</v>
      </c>
    </row>
    <row r="59" spans="1:54" ht="15.75" thickBot="1" x14ac:dyDescent="0.3">
      <c r="A59" s="17" t="s">
        <v>1028</v>
      </c>
      <c r="B59" s="17" t="s">
        <v>1029</v>
      </c>
      <c r="C59" s="97" t="s">
        <v>109</v>
      </c>
      <c r="D59" s="18"/>
      <c r="E59" s="18"/>
      <c r="F59" s="18"/>
      <c r="G59" s="151" t="s">
        <v>609</v>
      </c>
      <c r="H59" s="146"/>
      <c r="I59" s="151"/>
      <c r="J59" s="152"/>
      <c r="K59" s="148"/>
      <c r="L59" s="393">
        <v>31</v>
      </c>
      <c r="M59" s="22">
        <v>13</v>
      </c>
      <c r="N59" s="22"/>
      <c r="O59" s="22"/>
      <c r="P59" s="22"/>
      <c r="Q59" s="22"/>
      <c r="R59" s="23">
        <v>1</v>
      </c>
      <c r="S59" s="24">
        <v>14</v>
      </c>
      <c r="T59" s="25">
        <v>7</v>
      </c>
      <c r="U59" s="22">
        <v>4</v>
      </c>
      <c r="V59" s="22">
        <v>3</v>
      </c>
      <c r="W59" s="157">
        <v>2</v>
      </c>
      <c r="X59" s="22"/>
      <c r="Y59" s="22"/>
      <c r="Z59" s="149"/>
      <c r="AA59" s="149"/>
      <c r="AB59" s="22">
        <v>1</v>
      </c>
      <c r="AC59" s="22">
        <v>0</v>
      </c>
      <c r="AD59" s="22">
        <v>0</v>
      </c>
      <c r="AE59" s="22"/>
      <c r="AF59" s="22"/>
      <c r="AG59" s="154"/>
      <c r="AH59" s="28">
        <v>17</v>
      </c>
      <c r="AI59" s="38"/>
      <c r="AJ59" s="22"/>
      <c r="AK59" s="22"/>
      <c r="AL59" s="22"/>
      <c r="AM59" s="29"/>
      <c r="AN59" s="30">
        <v>0</v>
      </c>
      <c r="AO59" s="39"/>
      <c r="AP59" s="39"/>
      <c r="AQ59" s="33">
        <v>0</v>
      </c>
      <c r="AR59" s="34">
        <v>31</v>
      </c>
      <c r="AS59" s="380">
        <v>0</v>
      </c>
      <c r="AT59" s="355">
        <v>16.216666666666665</v>
      </c>
      <c r="AU59" s="356">
        <f t="shared" si="6"/>
        <v>10</v>
      </c>
      <c r="AV59" s="386">
        <v>0</v>
      </c>
      <c r="AW59" s="358">
        <v>0</v>
      </c>
      <c r="AX59" s="356">
        <v>6.8833333333333275</v>
      </c>
      <c r="AY59" s="387">
        <f t="shared" si="3"/>
        <v>0.59230009871668343</v>
      </c>
      <c r="AZ59" s="388">
        <f t="shared" si="4"/>
        <v>0.40769990128331673</v>
      </c>
      <c r="BA59" s="287">
        <v>1191278</v>
      </c>
      <c r="BB59" s="287">
        <f t="shared" si="5"/>
        <v>38428.322580645159</v>
      </c>
    </row>
    <row r="60" spans="1:54" ht="15.75" hidden="1" thickBot="1" x14ac:dyDescent="0.3">
      <c r="A60" s="17" t="s">
        <v>1176</v>
      </c>
      <c r="B60" s="17" t="s">
        <v>1177</v>
      </c>
      <c r="C60" s="97" t="s">
        <v>80</v>
      </c>
      <c r="D60" s="18"/>
      <c r="E60" s="310"/>
      <c r="F60" s="310"/>
      <c r="G60" s="312"/>
      <c r="H60" s="310"/>
      <c r="I60" s="151"/>
      <c r="J60" s="152"/>
      <c r="K60" s="148"/>
      <c r="L60" s="393">
        <v>47</v>
      </c>
      <c r="M60" s="22">
        <v>30</v>
      </c>
      <c r="N60" s="153"/>
      <c r="O60" s="153"/>
      <c r="P60" s="22"/>
      <c r="Q60" s="22"/>
      <c r="R60" s="320"/>
      <c r="S60" s="24">
        <v>30</v>
      </c>
      <c r="T60" s="25">
        <v>15</v>
      </c>
      <c r="U60" s="22"/>
      <c r="V60" s="22"/>
      <c r="W60" s="157">
        <v>2</v>
      </c>
      <c r="X60" s="153"/>
      <c r="Y60" s="153"/>
      <c r="Z60" s="149"/>
      <c r="AA60" s="149"/>
      <c r="AB60" s="22"/>
      <c r="AC60" s="22"/>
      <c r="AD60" s="22"/>
      <c r="AE60" s="22"/>
      <c r="AF60" s="22"/>
      <c r="AG60" s="154"/>
      <c r="AH60" s="28">
        <v>17</v>
      </c>
      <c r="AI60" s="155"/>
      <c r="AJ60" s="153"/>
      <c r="AK60" s="153"/>
      <c r="AL60" s="22"/>
      <c r="AM60" s="29"/>
      <c r="AN60" s="156">
        <v>0</v>
      </c>
      <c r="AO60" s="39"/>
      <c r="AP60" s="39"/>
      <c r="AQ60" s="33">
        <v>0</v>
      </c>
      <c r="AR60" s="34">
        <v>47</v>
      </c>
      <c r="AS60" s="380">
        <v>0</v>
      </c>
      <c r="AT60" s="355">
        <v>32.5</v>
      </c>
      <c r="AU60" s="356">
        <f t="shared" si="6"/>
        <v>20</v>
      </c>
      <c r="AV60" s="386">
        <v>0</v>
      </c>
      <c r="AW60" s="358">
        <v>0</v>
      </c>
      <c r="AX60" s="356">
        <v>12.499999999999993</v>
      </c>
      <c r="AY60" s="387">
        <f t="shared" si="3"/>
        <v>0.61538461538461553</v>
      </c>
      <c r="AZ60" s="388">
        <f t="shared" si="4"/>
        <v>0.38461538461538447</v>
      </c>
      <c r="BA60" s="287">
        <v>1433500</v>
      </c>
      <c r="BB60" s="287">
        <f t="shared" si="5"/>
        <v>30500</v>
      </c>
    </row>
    <row r="61" spans="1:54" ht="15.75" hidden="1" thickBot="1" x14ac:dyDescent="0.3">
      <c r="A61" s="17" t="s">
        <v>1178</v>
      </c>
      <c r="B61" s="17" t="s">
        <v>1179</v>
      </c>
      <c r="C61" s="97" t="s">
        <v>80</v>
      </c>
      <c r="D61" s="150"/>
      <c r="E61" s="310"/>
      <c r="F61" s="310"/>
      <c r="G61" s="312"/>
      <c r="H61" s="310"/>
      <c r="I61" s="151"/>
      <c r="J61" s="152"/>
      <c r="K61" s="148"/>
      <c r="L61" s="393">
        <v>47</v>
      </c>
      <c r="M61" s="22">
        <v>30</v>
      </c>
      <c r="N61" s="153"/>
      <c r="O61" s="153"/>
      <c r="P61" s="22"/>
      <c r="Q61" s="22"/>
      <c r="R61" s="320"/>
      <c r="S61" s="24">
        <v>30</v>
      </c>
      <c r="T61" s="25">
        <v>15</v>
      </c>
      <c r="U61" s="22"/>
      <c r="V61" s="22"/>
      <c r="W61" s="157">
        <v>2</v>
      </c>
      <c r="X61" s="153"/>
      <c r="Y61" s="153"/>
      <c r="Z61" s="149"/>
      <c r="AA61" s="149"/>
      <c r="AB61" s="22"/>
      <c r="AC61" s="22"/>
      <c r="AD61" s="22"/>
      <c r="AE61" s="22"/>
      <c r="AF61" s="22"/>
      <c r="AG61" s="154"/>
      <c r="AH61" s="28">
        <v>17</v>
      </c>
      <c r="AI61" s="155"/>
      <c r="AJ61" s="153"/>
      <c r="AK61" s="153"/>
      <c r="AL61" s="22"/>
      <c r="AM61" s="29"/>
      <c r="AN61" s="156">
        <v>0</v>
      </c>
      <c r="AO61" s="39"/>
      <c r="AP61" s="39"/>
      <c r="AQ61" s="33">
        <v>0</v>
      </c>
      <c r="AR61" s="34">
        <v>47</v>
      </c>
      <c r="AS61" s="380">
        <v>0</v>
      </c>
      <c r="AT61" s="355">
        <v>32.5</v>
      </c>
      <c r="AU61" s="356">
        <f t="shared" si="6"/>
        <v>20</v>
      </c>
      <c r="AV61" s="386">
        <v>0</v>
      </c>
      <c r="AW61" s="358">
        <v>0</v>
      </c>
      <c r="AX61" s="356">
        <v>12.499999999999993</v>
      </c>
      <c r="AY61" s="387">
        <f t="shared" si="3"/>
        <v>0.61538461538461553</v>
      </c>
      <c r="AZ61" s="388">
        <f t="shared" si="4"/>
        <v>0.38461538461538447</v>
      </c>
      <c r="BA61" s="287">
        <v>1518796</v>
      </c>
      <c r="BB61" s="287">
        <f t="shared" si="5"/>
        <v>32314.808510638297</v>
      </c>
    </row>
    <row r="62" spans="1:54" ht="15.75" thickBot="1" x14ac:dyDescent="0.3">
      <c r="A62" s="17" t="s">
        <v>1030</v>
      </c>
      <c r="B62" s="17" t="s">
        <v>1031</v>
      </c>
      <c r="C62" s="97" t="s">
        <v>109</v>
      </c>
      <c r="D62" s="18"/>
      <c r="E62" s="18"/>
      <c r="F62" s="18"/>
      <c r="G62" s="151" t="s">
        <v>609</v>
      </c>
      <c r="H62" s="146"/>
      <c r="I62" s="151"/>
      <c r="J62" s="152"/>
      <c r="K62" s="148"/>
      <c r="L62" s="394">
        <v>38.5</v>
      </c>
      <c r="M62" s="22">
        <v>18</v>
      </c>
      <c r="N62" s="22"/>
      <c r="O62" s="22"/>
      <c r="P62" s="22"/>
      <c r="Q62" s="22"/>
      <c r="R62" s="23">
        <v>1</v>
      </c>
      <c r="S62" s="24">
        <v>19</v>
      </c>
      <c r="T62" s="25">
        <v>9.5</v>
      </c>
      <c r="U62" s="22">
        <v>4</v>
      </c>
      <c r="V62" s="22">
        <v>3</v>
      </c>
      <c r="W62" s="157">
        <v>2</v>
      </c>
      <c r="X62" s="22"/>
      <c r="Y62" s="22"/>
      <c r="Z62" s="149"/>
      <c r="AA62" s="149"/>
      <c r="AB62" s="22">
        <v>1</v>
      </c>
      <c r="AC62" s="22">
        <v>0</v>
      </c>
      <c r="AD62" s="22">
        <v>0</v>
      </c>
      <c r="AE62" s="22"/>
      <c r="AF62" s="22"/>
      <c r="AG62" s="154"/>
      <c r="AH62" s="28">
        <v>19.5</v>
      </c>
      <c r="AI62" s="38"/>
      <c r="AJ62" s="22"/>
      <c r="AK62" s="22"/>
      <c r="AL62" s="22"/>
      <c r="AM62" s="29"/>
      <c r="AN62" s="30">
        <v>0</v>
      </c>
      <c r="AO62" s="39"/>
      <c r="AP62" s="39"/>
      <c r="AQ62" s="33">
        <v>0</v>
      </c>
      <c r="AR62" s="34">
        <v>38.5</v>
      </c>
      <c r="AS62" s="380">
        <v>0</v>
      </c>
      <c r="AT62" s="355">
        <v>28.3</v>
      </c>
      <c r="AU62" s="356">
        <f t="shared" si="6"/>
        <v>13.333333333333334</v>
      </c>
      <c r="AV62" s="386">
        <v>0</v>
      </c>
      <c r="AW62" s="358">
        <v>0</v>
      </c>
      <c r="AX62" s="356">
        <v>15.633333333333329</v>
      </c>
      <c r="AY62" s="387">
        <f t="shared" si="3"/>
        <v>0.46029919447640977</v>
      </c>
      <c r="AZ62" s="388">
        <f t="shared" si="4"/>
        <v>0.53970080552359034</v>
      </c>
      <c r="BA62" s="287">
        <v>1740638</v>
      </c>
      <c r="BB62" s="287">
        <f t="shared" si="5"/>
        <v>45211.376623376622</v>
      </c>
    </row>
    <row r="63" spans="1:54" ht="15.75" thickBot="1" x14ac:dyDescent="0.3">
      <c r="A63" s="17" t="s">
        <v>1032</v>
      </c>
      <c r="B63" s="17" t="s">
        <v>1033</v>
      </c>
      <c r="C63" s="305" t="s">
        <v>109</v>
      </c>
      <c r="D63" s="305"/>
      <c r="E63" s="305"/>
      <c r="F63" s="305"/>
      <c r="G63" s="20"/>
      <c r="H63" s="315"/>
      <c r="I63" s="178"/>
      <c r="J63" s="108"/>
      <c r="K63" s="19"/>
      <c r="L63" s="393">
        <v>40.4</v>
      </c>
      <c r="M63" s="22">
        <v>20</v>
      </c>
      <c r="N63" s="22"/>
      <c r="O63" s="22"/>
      <c r="P63" s="22"/>
      <c r="Q63" s="22"/>
      <c r="R63" s="23"/>
      <c r="S63" s="24">
        <v>20</v>
      </c>
      <c r="T63" s="25">
        <v>10</v>
      </c>
      <c r="U63" s="22"/>
      <c r="V63" s="22"/>
      <c r="W63" s="157">
        <v>2</v>
      </c>
      <c r="X63" s="22"/>
      <c r="Y63" s="22"/>
      <c r="Z63" s="149"/>
      <c r="AA63" s="149"/>
      <c r="AB63" s="22">
        <v>1</v>
      </c>
      <c r="AC63" s="22">
        <v>0</v>
      </c>
      <c r="AD63" s="22">
        <v>0.5</v>
      </c>
      <c r="AE63" s="22"/>
      <c r="AF63" s="22">
        <v>6.9</v>
      </c>
      <c r="AG63" s="154" t="s">
        <v>1034</v>
      </c>
      <c r="AH63" s="28">
        <v>20.399999999999999</v>
      </c>
      <c r="AI63" s="38"/>
      <c r="AJ63" s="22"/>
      <c r="AK63" s="22"/>
      <c r="AL63" s="22"/>
      <c r="AM63" s="29"/>
      <c r="AN63" s="30">
        <v>0</v>
      </c>
      <c r="AO63" s="39"/>
      <c r="AP63" s="39"/>
      <c r="AQ63" s="33">
        <v>0</v>
      </c>
      <c r="AR63" s="34">
        <v>40.4</v>
      </c>
      <c r="AS63" s="380">
        <v>0</v>
      </c>
      <c r="AT63" s="355">
        <v>28.333333333333332</v>
      </c>
      <c r="AU63" s="356">
        <f t="shared" si="6"/>
        <v>14</v>
      </c>
      <c r="AV63" s="386">
        <v>0</v>
      </c>
      <c r="AW63" s="358">
        <v>0</v>
      </c>
      <c r="AX63" s="356">
        <v>14.999999999999993</v>
      </c>
      <c r="AY63" s="387">
        <f t="shared" si="3"/>
        <v>0.4827586206896553</v>
      </c>
      <c r="AZ63" s="388">
        <f t="shared" si="4"/>
        <v>0.51724137931034475</v>
      </c>
      <c r="BA63" s="287">
        <v>1818000</v>
      </c>
      <c r="BB63" s="287">
        <f t="shared" si="5"/>
        <v>45000</v>
      </c>
    </row>
    <row r="64" spans="1:54" ht="15.75" thickBot="1" x14ac:dyDescent="0.3">
      <c r="A64" s="17" t="s">
        <v>1035</v>
      </c>
      <c r="B64" s="17" t="s">
        <v>1036</v>
      </c>
      <c r="C64" s="97" t="s">
        <v>47</v>
      </c>
      <c r="D64" s="18"/>
      <c r="E64" s="18"/>
      <c r="F64" s="97" t="s">
        <v>47</v>
      </c>
      <c r="G64" s="151" t="s">
        <v>609</v>
      </c>
      <c r="H64" s="146"/>
      <c r="I64" s="151"/>
      <c r="J64" s="152"/>
      <c r="K64" s="148"/>
      <c r="L64" s="394">
        <v>32.75</v>
      </c>
      <c r="M64" s="22">
        <v>4</v>
      </c>
      <c r="N64" s="22"/>
      <c r="O64" s="22"/>
      <c r="P64" s="22">
        <v>3.5</v>
      </c>
      <c r="Q64" s="22"/>
      <c r="R64" s="23">
        <v>1</v>
      </c>
      <c r="S64" s="24">
        <v>8.5</v>
      </c>
      <c r="T64" s="166">
        <v>4.25</v>
      </c>
      <c r="U64" s="22">
        <v>4</v>
      </c>
      <c r="V64" s="22">
        <v>3</v>
      </c>
      <c r="W64" s="157">
        <v>2</v>
      </c>
      <c r="X64" s="22"/>
      <c r="Y64" s="22"/>
      <c r="Z64" s="149" t="s">
        <v>57</v>
      </c>
      <c r="AA64" s="149"/>
      <c r="AB64" s="22">
        <v>2</v>
      </c>
      <c r="AC64" s="22">
        <v>2</v>
      </c>
      <c r="AD64" s="22">
        <v>0</v>
      </c>
      <c r="AE64" s="22"/>
      <c r="AF64" s="22">
        <v>7</v>
      </c>
      <c r="AG64" s="154" t="s">
        <v>1037</v>
      </c>
      <c r="AH64" s="28">
        <v>24.25</v>
      </c>
      <c r="AI64" s="38"/>
      <c r="AJ64" s="22"/>
      <c r="AK64" s="22"/>
      <c r="AL64" s="22"/>
      <c r="AM64" s="29"/>
      <c r="AN64" s="30">
        <v>0</v>
      </c>
      <c r="AO64" s="39"/>
      <c r="AP64" s="39"/>
      <c r="AQ64" s="33">
        <v>0</v>
      </c>
      <c r="AR64" s="34">
        <v>32.75</v>
      </c>
      <c r="AS64" s="380">
        <v>0</v>
      </c>
      <c r="AT64" s="355">
        <v>29.225000000000001</v>
      </c>
      <c r="AU64" s="356">
        <f t="shared" si="6"/>
        <v>7</v>
      </c>
      <c r="AV64" s="386">
        <v>0</v>
      </c>
      <c r="AW64" s="358">
        <v>0</v>
      </c>
      <c r="AX64" s="356">
        <v>23.55833333333333</v>
      </c>
      <c r="AY64" s="387">
        <f t="shared" si="3"/>
        <v>0.22907008453776931</v>
      </c>
      <c r="AZ64" s="388">
        <f t="shared" si="4"/>
        <v>0.77092991546223066</v>
      </c>
      <c r="BA64" s="287">
        <v>1308633</v>
      </c>
      <c r="BB64" s="287">
        <f t="shared" si="5"/>
        <v>39958.259541984735</v>
      </c>
    </row>
    <row r="65" spans="1:54" ht="15.75" thickBot="1" x14ac:dyDescent="0.3">
      <c r="A65" s="17" t="s">
        <v>1038</v>
      </c>
      <c r="B65" s="17" t="s">
        <v>1039</v>
      </c>
      <c r="C65" s="97" t="s">
        <v>114</v>
      </c>
      <c r="D65" s="150"/>
      <c r="E65" s="150"/>
      <c r="F65" s="150"/>
      <c r="G65" s="151" t="s">
        <v>57</v>
      </c>
      <c r="H65" s="146"/>
      <c r="I65" s="151"/>
      <c r="J65" s="152"/>
      <c r="K65" s="148"/>
      <c r="L65" s="393">
        <v>48.75</v>
      </c>
      <c r="M65" s="22">
        <v>17</v>
      </c>
      <c r="N65" s="153"/>
      <c r="O65" s="153"/>
      <c r="P65" s="153"/>
      <c r="Q65" s="22">
        <v>2</v>
      </c>
      <c r="R65" s="23">
        <v>1</v>
      </c>
      <c r="S65" s="24">
        <f t="shared" ref="S65:S66" si="13">SUBTOTAL(9,M65:R65)</f>
        <v>20</v>
      </c>
      <c r="T65" s="433">
        <v>8.5</v>
      </c>
      <c r="U65" s="22">
        <v>6.5</v>
      </c>
      <c r="V65" s="22"/>
      <c r="W65" s="157">
        <v>2</v>
      </c>
      <c r="X65" s="153"/>
      <c r="Y65" s="153"/>
      <c r="Z65" s="149"/>
      <c r="AA65" s="149"/>
      <c r="AB65" s="22">
        <v>3</v>
      </c>
      <c r="AC65" s="22"/>
      <c r="AD65" s="22">
        <v>0.75</v>
      </c>
      <c r="AE65" s="22"/>
      <c r="AF65" s="22">
        <v>8</v>
      </c>
      <c r="AG65" s="154" t="s">
        <v>928</v>
      </c>
      <c r="AH65" s="28">
        <f t="shared" ref="AH65:AH66" si="14">SUBTOTAL(9,T65:AF65)</f>
        <v>28.75</v>
      </c>
      <c r="AI65" s="155"/>
      <c r="AJ65" s="153"/>
      <c r="AK65" s="153"/>
      <c r="AL65" s="22"/>
      <c r="AM65" s="29"/>
      <c r="AN65" s="156">
        <v>0</v>
      </c>
      <c r="AO65" s="39"/>
      <c r="AP65" s="39"/>
      <c r="AQ65" s="33">
        <v>0</v>
      </c>
      <c r="AR65" s="34">
        <f t="shared" ref="AR65:AR66" si="15">+AQ65+AN65+AH65+S65</f>
        <v>48.75</v>
      </c>
      <c r="AS65" s="380">
        <v>0.29999999999999716</v>
      </c>
      <c r="AT65" s="355">
        <v>34.333333333333336</v>
      </c>
      <c r="AU65" s="356">
        <f t="shared" si="6"/>
        <v>15.333333333333334</v>
      </c>
      <c r="AV65" s="386">
        <v>0</v>
      </c>
      <c r="AW65" s="358">
        <v>0</v>
      </c>
      <c r="AX65" s="356">
        <v>22.333333333333329</v>
      </c>
      <c r="AY65" s="387">
        <f t="shared" si="3"/>
        <v>0.40707964601769914</v>
      </c>
      <c r="AZ65" s="388">
        <f t="shared" si="4"/>
        <v>0.59292035398230081</v>
      </c>
      <c r="BA65" s="287">
        <v>1978677</v>
      </c>
      <c r="BB65" s="287">
        <f t="shared" si="5"/>
        <v>40588.24615384615</v>
      </c>
    </row>
    <row r="66" spans="1:54" ht="15.75" thickBot="1" x14ac:dyDescent="0.3">
      <c r="A66" s="17" t="s">
        <v>1040</v>
      </c>
      <c r="B66" s="17" t="s">
        <v>1041</v>
      </c>
      <c r="C66" s="97" t="s">
        <v>64</v>
      </c>
      <c r="D66" s="150"/>
      <c r="E66" s="150"/>
      <c r="F66" s="150"/>
      <c r="G66" s="151" t="s">
        <v>57</v>
      </c>
      <c r="H66" s="146"/>
      <c r="I66" s="151"/>
      <c r="J66" s="152"/>
      <c r="K66" s="148"/>
      <c r="L66" s="393">
        <v>48.75</v>
      </c>
      <c r="M66" s="22">
        <v>18</v>
      </c>
      <c r="N66" s="153"/>
      <c r="O66" s="153"/>
      <c r="P66" s="153"/>
      <c r="Q66" s="22">
        <v>1</v>
      </c>
      <c r="R66" s="23">
        <v>1</v>
      </c>
      <c r="S66" s="24">
        <f t="shared" si="13"/>
        <v>20</v>
      </c>
      <c r="T66" s="433">
        <v>9</v>
      </c>
      <c r="U66" s="22">
        <v>6.5</v>
      </c>
      <c r="V66" s="22"/>
      <c r="W66" s="157">
        <v>2</v>
      </c>
      <c r="X66" s="153"/>
      <c r="Y66" s="153"/>
      <c r="Z66" s="149"/>
      <c r="AA66" s="149"/>
      <c r="AB66" s="22"/>
      <c r="AC66" s="22">
        <v>1</v>
      </c>
      <c r="AD66" s="22">
        <v>0.75</v>
      </c>
      <c r="AE66" s="22"/>
      <c r="AF66" s="22">
        <v>9.5</v>
      </c>
      <c r="AG66" s="154" t="s">
        <v>928</v>
      </c>
      <c r="AH66" s="28">
        <f t="shared" si="14"/>
        <v>28.75</v>
      </c>
      <c r="AI66" s="155"/>
      <c r="AJ66" s="153"/>
      <c r="AK66" s="153"/>
      <c r="AL66" s="22"/>
      <c r="AM66" s="29"/>
      <c r="AN66" s="156">
        <v>0</v>
      </c>
      <c r="AO66" s="39"/>
      <c r="AP66" s="39"/>
      <c r="AQ66" s="33">
        <v>0</v>
      </c>
      <c r="AR66" s="34">
        <f t="shared" si="15"/>
        <v>48.75</v>
      </c>
      <c r="AS66" s="380">
        <v>0</v>
      </c>
      <c r="AT66" s="355">
        <v>34.25</v>
      </c>
      <c r="AU66" s="356">
        <f t="shared" si="6"/>
        <v>13.333333333333334</v>
      </c>
      <c r="AV66" s="386">
        <v>0</v>
      </c>
      <c r="AW66" s="358">
        <v>0</v>
      </c>
      <c r="AX66" s="356">
        <v>21.583333333333329</v>
      </c>
      <c r="AY66" s="387">
        <f t="shared" si="3"/>
        <v>0.38186157517899766</v>
      </c>
      <c r="AZ66" s="388">
        <f t="shared" si="4"/>
        <v>0.61813842482100234</v>
      </c>
      <c r="BA66" s="287">
        <v>2360127</v>
      </c>
      <c r="BB66" s="287">
        <f t="shared" si="5"/>
        <v>48412.86153846154</v>
      </c>
    </row>
    <row r="67" spans="1:54" ht="15.75" thickBot="1" x14ac:dyDescent="0.3">
      <c r="A67" s="17" t="s">
        <v>1042</v>
      </c>
      <c r="B67" s="17" t="s">
        <v>1043</v>
      </c>
      <c r="C67" s="97" t="s">
        <v>47</v>
      </c>
      <c r="D67" s="18"/>
      <c r="E67" s="18"/>
      <c r="F67" s="18"/>
      <c r="G67" s="151"/>
      <c r="H67" s="146"/>
      <c r="I67" s="151"/>
      <c r="J67" s="152"/>
      <c r="K67" s="148"/>
      <c r="L67" s="394">
        <v>28.75</v>
      </c>
      <c r="M67" s="22">
        <v>16.5</v>
      </c>
      <c r="N67" s="22"/>
      <c r="O67" s="22"/>
      <c r="P67" s="22"/>
      <c r="Q67" s="22"/>
      <c r="R67" s="23"/>
      <c r="S67" s="24">
        <v>16.5</v>
      </c>
      <c r="T67" s="166">
        <v>8.25</v>
      </c>
      <c r="U67" s="22"/>
      <c r="V67" s="22"/>
      <c r="W67" s="157">
        <v>2</v>
      </c>
      <c r="X67" s="22"/>
      <c r="Y67" s="22"/>
      <c r="Z67" s="149" t="s">
        <v>57</v>
      </c>
      <c r="AA67" s="149"/>
      <c r="AB67" s="22">
        <v>2</v>
      </c>
      <c r="AC67" s="22"/>
      <c r="AD67" s="22"/>
      <c r="AE67" s="22"/>
      <c r="AF67" s="22"/>
      <c r="AG67" s="154"/>
      <c r="AH67" s="28">
        <v>12.25</v>
      </c>
      <c r="AI67" s="38"/>
      <c r="AJ67" s="22"/>
      <c r="AK67" s="22"/>
      <c r="AL67" s="22"/>
      <c r="AM67" s="29"/>
      <c r="AN67" s="30">
        <v>0</v>
      </c>
      <c r="AO67" s="39"/>
      <c r="AP67" s="39"/>
      <c r="AQ67" s="33">
        <v>0</v>
      </c>
      <c r="AR67" s="34">
        <v>28.75</v>
      </c>
      <c r="AS67" s="380">
        <v>0</v>
      </c>
      <c r="AT67" s="355">
        <v>24.291666666666668</v>
      </c>
      <c r="AU67" s="356">
        <f t="shared" si="6"/>
        <v>12.333333333333334</v>
      </c>
      <c r="AV67" s="386">
        <v>0</v>
      </c>
      <c r="AW67" s="358">
        <v>0</v>
      </c>
      <c r="AX67" s="356">
        <v>13.291666666666663</v>
      </c>
      <c r="AY67" s="387">
        <f t="shared" si="3"/>
        <v>0.48130081300813016</v>
      </c>
      <c r="AZ67" s="388">
        <f t="shared" si="4"/>
        <v>0.51869918699186979</v>
      </c>
      <c r="BA67" s="287">
        <v>1119238</v>
      </c>
      <c r="BB67" s="287">
        <f t="shared" si="5"/>
        <v>38930.017391304347</v>
      </c>
    </row>
    <row r="68" spans="1:54" ht="15.75" hidden="1" thickBot="1" x14ac:dyDescent="0.3">
      <c r="A68" s="17" t="s">
        <v>1180</v>
      </c>
      <c r="B68" s="17" t="s">
        <v>1181</v>
      </c>
      <c r="C68" s="97" t="s">
        <v>80</v>
      </c>
      <c r="D68" s="150"/>
      <c r="E68" s="310"/>
      <c r="F68" s="310"/>
      <c r="G68" s="312"/>
      <c r="H68" s="310"/>
      <c r="I68" s="151"/>
      <c r="J68" s="152"/>
      <c r="K68" s="148"/>
      <c r="L68" s="393">
        <v>47</v>
      </c>
      <c r="M68" s="22">
        <v>30</v>
      </c>
      <c r="N68" s="153"/>
      <c r="O68" s="153"/>
      <c r="P68" s="22"/>
      <c r="Q68" s="22"/>
      <c r="R68" s="320"/>
      <c r="S68" s="24">
        <v>30</v>
      </c>
      <c r="T68" s="166">
        <v>15</v>
      </c>
      <c r="U68" s="22"/>
      <c r="V68" s="22"/>
      <c r="W68" s="157">
        <v>2</v>
      </c>
      <c r="X68" s="153"/>
      <c r="Y68" s="153"/>
      <c r="Z68" s="149"/>
      <c r="AA68" s="149"/>
      <c r="AB68" s="22"/>
      <c r="AC68" s="22"/>
      <c r="AD68" s="22"/>
      <c r="AE68" s="22"/>
      <c r="AF68" s="22"/>
      <c r="AG68" s="154"/>
      <c r="AH68" s="28">
        <v>17</v>
      </c>
      <c r="AI68" s="155"/>
      <c r="AJ68" s="153"/>
      <c r="AK68" s="153"/>
      <c r="AL68" s="22"/>
      <c r="AM68" s="29"/>
      <c r="AN68" s="156">
        <v>0</v>
      </c>
      <c r="AO68" s="39"/>
      <c r="AP68" s="39"/>
      <c r="AQ68" s="33">
        <v>0</v>
      </c>
      <c r="AR68" s="34">
        <v>47</v>
      </c>
      <c r="AS68" s="380">
        <v>0</v>
      </c>
      <c r="AT68" s="355">
        <v>32.5</v>
      </c>
      <c r="AU68" s="356">
        <f t="shared" ref="AU68:AU87" si="16">+(S68+AB68)*40/60</f>
        <v>20</v>
      </c>
      <c r="AV68" s="386">
        <v>0</v>
      </c>
      <c r="AW68" s="358">
        <v>0</v>
      </c>
      <c r="AX68" s="356">
        <v>12.499999999999993</v>
      </c>
      <c r="AY68" s="387">
        <f t="shared" si="3"/>
        <v>0.61538461538461553</v>
      </c>
      <c r="AZ68" s="388">
        <f t="shared" si="4"/>
        <v>0.38461538461538447</v>
      </c>
      <c r="BA68" s="287">
        <v>1564802</v>
      </c>
      <c r="BB68" s="287">
        <f t="shared" si="5"/>
        <v>33293.659574468082</v>
      </c>
    </row>
    <row r="69" spans="1:54" ht="15.75" thickBot="1" x14ac:dyDescent="0.3">
      <c r="A69" s="17" t="s">
        <v>1044</v>
      </c>
      <c r="B69" s="17" t="s">
        <v>1045</v>
      </c>
      <c r="C69" s="97" t="s">
        <v>54</v>
      </c>
      <c r="D69" s="97" t="s">
        <v>56</v>
      </c>
      <c r="E69" s="97"/>
      <c r="F69" s="97" t="s">
        <v>54</v>
      </c>
      <c r="G69" s="151" t="s">
        <v>609</v>
      </c>
      <c r="H69" s="146"/>
      <c r="I69" s="151"/>
      <c r="J69" s="152"/>
      <c r="K69" s="148"/>
      <c r="L69" s="394">
        <v>35</v>
      </c>
      <c r="M69" s="22">
        <v>10</v>
      </c>
      <c r="N69" s="22">
        <v>3</v>
      </c>
      <c r="O69" s="22"/>
      <c r="P69" s="22">
        <v>2</v>
      </c>
      <c r="Q69" s="22"/>
      <c r="R69" s="23">
        <v>1</v>
      </c>
      <c r="S69" s="24">
        <v>16</v>
      </c>
      <c r="T69" s="166">
        <v>8</v>
      </c>
      <c r="U69" s="22">
        <v>4</v>
      </c>
      <c r="V69" s="22">
        <v>3</v>
      </c>
      <c r="W69" s="157">
        <v>2</v>
      </c>
      <c r="X69" s="22"/>
      <c r="Y69" s="22"/>
      <c r="Z69" s="149"/>
      <c r="AA69" s="149" t="s">
        <v>57</v>
      </c>
      <c r="AB69" s="22">
        <v>1</v>
      </c>
      <c r="AC69" s="22">
        <v>1</v>
      </c>
      <c r="AD69" s="22">
        <v>0</v>
      </c>
      <c r="AE69" s="22"/>
      <c r="AF69" s="22"/>
      <c r="AG69" s="154"/>
      <c r="AH69" s="28">
        <v>19</v>
      </c>
      <c r="AI69" s="38"/>
      <c r="AJ69" s="22"/>
      <c r="AK69" s="22"/>
      <c r="AL69" s="22"/>
      <c r="AM69" s="29"/>
      <c r="AN69" s="30">
        <v>0</v>
      </c>
      <c r="AO69" s="39"/>
      <c r="AP69" s="39"/>
      <c r="AQ69" s="33">
        <v>0</v>
      </c>
      <c r="AR69" s="34">
        <v>35</v>
      </c>
      <c r="AS69" s="380">
        <v>0</v>
      </c>
      <c r="AT69" s="355">
        <v>26.233333333333334</v>
      </c>
      <c r="AU69" s="356">
        <f t="shared" si="16"/>
        <v>11.333333333333334</v>
      </c>
      <c r="AV69" s="386">
        <v>0</v>
      </c>
      <c r="AW69" s="358">
        <v>0</v>
      </c>
      <c r="AX69" s="356">
        <v>15.566666666666663</v>
      </c>
      <c r="AY69" s="387">
        <f t="shared" ref="AY69:AY86" si="17">+AU69/(AU69+AX69)</f>
        <v>0.42131350681536561</v>
      </c>
      <c r="AZ69" s="388">
        <f t="shared" ref="AZ69:AZ86" si="18">+AX69/(AU69+AX69)</f>
        <v>0.57868649318463439</v>
      </c>
      <c r="BA69" s="287">
        <v>1155844</v>
      </c>
      <c r="BB69" s="287">
        <f t="shared" ref="BB69:BB86" si="19">+BA69/L69</f>
        <v>33024.114285714284</v>
      </c>
    </row>
    <row r="70" spans="1:54" ht="15.75" thickBot="1" x14ac:dyDescent="0.3">
      <c r="A70" s="17" t="s">
        <v>1046</v>
      </c>
      <c r="B70" s="17" t="s">
        <v>1047</v>
      </c>
      <c r="C70" s="97" t="s">
        <v>55</v>
      </c>
      <c r="D70" s="18"/>
      <c r="E70" s="18"/>
      <c r="F70" s="97" t="s">
        <v>55</v>
      </c>
      <c r="G70" s="151" t="s">
        <v>609</v>
      </c>
      <c r="H70" s="146"/>
      <c r="I70" s="151"/>
      <c r="J70" s="152"/>
      <c r="K70" s="148"/>
      <c r="L70" s="394">
        <v>40.299999999999997</v>
      </c>
      <c r="M70" s="22">
        <v>14</v>
      </c>
      <c r="N70" s="22"/>
      <c r="O70" s="22"/>
      <c r="P70" s="22">
        <v>4</v>
      </c>
      <c r="Q70" s="22"/>
      <c r="R70" s="23">
        <v>1</v>
      </c>
      <c r="S70" s="24">
        <v>19</v>
      </c>
      <c r="T70" s="165">
        <v>11.5</v>
      </c>
      <c r="U70" s="22">
        <v>4</v>
      </c>
      <c r="V70" s="22">
        <v>3</v>
      </c>
      <c r="W70" s="157">
        <v>2</v>
      </c>
      <c r="X70" s="22"/>
      <c r="Y70" s="22"/>
      <c r="Z70" s="149"/>
      <c r="AA70" s="149"/>
      <c r="AB70" s="22">
        <v>1</v>
      </c>
      <c r="AC70" s="22">
        <v>0</v>
      </c>
      <c r="AD70" s="22">
        <v>0</v>
      </c>
      <c r="AE70" s="22"/>
      <c r="AF70" s="22"/>
      <c r="AG70" s="154"/>
      <c r="AH70" s="28">
        <v>21.5</v>
      </c>
      <c r="AI70" s="38"/>
      <c r="AJ70" s="22"/>
      <c r="AK70" s="22"/>
      <c r="AL70" s="22"/>
      <c r="AM70" s="29"/>
      <c r="AN70" s="30">
        <v>0</v>
      </c>
      <c r="AO70" s="39"/>
      <c r="AP70" s="39"/>
      <c r="AQ70" s="33">
        <v>0</v>
      </c>
      <c r="AR70" s="34">
        <v>40.5</v>
      </c>
      <c r="AS70" s="380">
        <v>-0.20000000000000284</v>
      </c>
      <c r="AT70" s="355">
        <v>28.383333333333333</v>
      </c>
      <c r="AU70" s="356">
        <f t="shared" si="16"/>
        <v>13.333333333333334</v>
      </c>
      <c r="AV70" s="386">
        <v>0</v>
      </c>
      <c r="AW70" s="358">
        <v>0</v>
      </c>
      <c r="AX70" s="356">
        <v>15.716666666666661</v>
      </c>
      <c r="AY70" s="387">
        <f t="shared" si="17"/>
        <v>0.45897877223178435</v>
      </c>
      <c r="AZ70" s="388">
        <f t="shared" si="18"/>
        <v>0.5410212277682156</v>
      </c>
      <c r="BA70" s="287">
        <v>1652300</v>
      </c>
      <c r="BB70" s="287">
        <f t="shared" si="19"/>
        <v>41000</v>
      </c>
    </row>
    <row r="71" spans="1:54" ht="15.75" thickBot="1" x14ac:dyDescent="0.3">
      <c r="A71" s="17" t="s">
        <v>1048</v>
      </c>
      <c r="B71" s="17" t="s">
        <v>1049</v>
      </c>
      <c r="C71" s="97" t="s">
        <v>55</v>
      </c>
      <c r="D71" s="18"/>
      <c r="E71" s="18"/>
      <c r="F71" s="97" t="s">
        <v>55</v>
      </c>
      <c r="G71" s="151" t="s">
        <v>609</v>
      </c>
      <c r="H71" s="146" t="s">
        <v>609</v>
      </c>
      <c r="I71" s="151"/>
      <c r="J71" s="152"/>
      <c r="K71" s="148"/>
      <c r="L71" s="394">
        <v>48.9</v>
      </c>
      <c r="M71" s="22">
        <v>10</v>
      </c>
      <c r="N71" s="22"/>
      <c r="O71" s="22"/>
      <c r="P71" s="22">
        <v>4</v>
      </c>
      <c r="Q71" s="22"/>
      <c r="R71" s="23">
        <v>1</v>
      </c>
      <c r="S71" s="24">
        <v>15</v>
      </c>
      <c r="T71" s="25">
        <v>8.9</v>
      </c>
      <c r="U71" s="22">
        <v>4</v>
      </c>
      <c r="V71" s="22">
        <v>3</v>
      </c>
      <c r="W71" s="157">
        <v>2</v>
      </c>
      <c r="X71" s="22"/>
      <c r="Y71" s="22"/>
      <c r="Z71" s="149"/>
      <c r="AA71" s="149"/>
      <c r="AB71" s="22">
        <v>3</v>
      </c>
      <c r="AC71" s="22">
        <v>0</v>
      </c>
      <c r="AD71" s="22">
        <v>1</v>
      </c>
      <c r="AE71" s="22"/>
      <c r="AF71" s="22"/>
      <c r="AG71" s="154"/>
      <c r="AH71" s="28">
        <v>21.9</v>
      </c>
      <c r="AI71" s="38"/>
      <c r="AJ71" s="22">
        <v>12</v>
      </c>
      <c r="AK71" s="22"/>
      <c r="AL71" s="22"/>
      <c r="AM71" s="29"/>
      <c r="AN71" s="30">
        <v>12</v>
      </c>
      <c r="AO71" s="39"/>
      <c r="AP71" s="39"/>
      <c r="AQ71" s="33">
        <v>0</v>
      </c>
      <c r="AR71" s="34">
        <v>48.9</v>
      </c>
      <c r="AS71" s="380">
        <v>0</v>
      </c>
      <c r="AT71" s="355">
        <v>34.333333333333336</v>
      </c>
      <c r="AU71" s="356">
        <f t="shared" si="16"/>
        <v>12</v>
      </c>
      <c r="AV71" s="386">
        <v>8</v>
      </c>
      <c r="AW71" s="358">
        <v>0</v>
      </c>
      <c r="AX71" s="356">
        <v>16.333333333333332</v>
      </c>
      <c r="AY71" s="387">
        <f t="shared" si="17"/>
        <v>0.42352941176470588</v>
      </c>
      <c r="AZ71" s="388">
        <f t="shared" si="18"/>
        <v>0.57647058823529407</v>
      </c>
      <c r="BA71" s="287">
        <v>2272242</v>
      </c>
      <c r="BB71" s="287">
        <f t="shared" si="19"/>
        <v>46467.116564417178</v>
      </c>
    </row>
    <row r="72" spans="1:54" ht="15.75" thickBot="1" x14ac:dyDescent="0.3">
      <c r="A72" s="17" t="s">
        <v>1050</v>
      </c>
      <c r="B72" s="17" t="s">
        <v>1051</v>
      </c>
      <c r="C72" s="97" t="s">
        <v>61</v>
      </c>
      <c r="D72" s="150"/>
      <c r="E72" s="150"/>
      <c r="F72" s="150"/>
      <c r="G72" s="151" t="s">
        <v>609</v>
      </c>
      <c r="H72" s="146" t="s">
        <v>609</v>
      </c>
      <c r="I72" s="151"/>
      <c r="J72" s="152"/>
      <c r="K72" s="148"/>
      <c r="L72" s="394">
        <v>47.5</v>
      </c>
      <c r="M72" s="22">
        <v>7</v>
      </c>
      <c r="N72" s="153"/>
      <c r="O72" s="153"/>
      <c r="P72" s="153"/>
      <c r="Q72" s="22"/>
      <c r="R72" s="23">
        <v>1</v>
      </c>
      <c r="S72" s="24">
        <v>8</v>
      </c>
      <c r="T72" s="25">
        <v>4</v>
      </c>
      <c r="U72" s="22">
        <v>4</v>
      </c>
      <c r="V72" s="22">
        <v>3</v>
      </c>
      <c r="W72" s="157">
        <v>2</v>
      </c>
      <c r="X72" s="153"/>
      <c r="Y72" s="153"/>
      <c r="Z72" s="149"/>
      <c r="AA72" s="149"/>
      <c r="AB72" s="22">
        <v>4</v>
      </c>
      <c r="AC72" s="22">
        <v>1</v>
      </c>
      <c r="AD72" s="22">
        <v>1.5</v>
      </c>
      <c r="AE72" s="22"/>
      <c r="AF72" s="22">
        <v>8</v>
      </c>
      <c r="AG72" s="154" t="s">
        <v>1052</v>
      </c>
      <c r="AH72" s="28">
        <v>27.5</v>
      </c>
      <c r="AI72" s="155"/>
      <c r="AJ72" s="22">
        <v>12</v>
      </c>
      <c r="AK72" s="153"/>
      <c r="AL72" s="22"/>
      <c r="AM72" s="29"/>
      <c r="AN72" s="180">
        <v>12</v>
      </c>
      <c r="AO72" s="39"/>
      <c r="AP72" s="39"/>
      <c r="AQ72" s="33">
        <v>0</v>
      </c>
      <c r="AR72" s="34">
        <v>47.5</v>
      </c>
      <c r="AS72" s="380">
        <v>0</v>
      </c>
      <c r="AT72" s="355">
        <v>36.166666666666664</v>
      </c>
      <c r="AU72" s="356">
        <f t="shared" si="16"/>
        <v>8</v>
      </c>
      <c r="AV72" s="386">
        <v>8</v>
      </c>
      <c r="AW72" s="358">
        <v>0</v>
      </c>
      <c r="AX72" s="356">
        <v>22.833333333333329</v>
      </c>
      <c r="AY72" s="387">
        <f t="shared" si="17"/>
        <v>0.25945945945945947</v>
      </c>
      <c r="AZ72" s="388">
        <f t="shared" si="18"/>
        <v>0.74054054054054053</v>
      </c>
      <c r="BA72" s="287">
        <v>2280958</v>
      </c>
      <c r="BB72" s="287">
        <f t="shared" si="19"/>
        <v>48020.168421052629</v>
      </c>
    </row>
    <row r="73" spans="1:54" ht="15.75" thickBot="1" x14ac:dyDescent="0.3">
      <c r="A73" s="17" t="s">
        <v>1053</v>
      </c>
      <c r="B73" s="17" t="s">
        <v>1054</v>
      </c>
      <c r="C73" s="97" t="s">
        <v>54</v>
      </c>
      <c r="D73" s="18"/>
      <c r="E73" s="18"/>
      <c r="F73" s="18"/>
      <c r="G73" s="151" t="s">
        <v>609</v>
      </c>
      <c r="H73" s="146" t="s">
        <v>609</v>
      </c>
      <c r="I73" s="151"/>
      <c r="J73" s="152"/>
      <c r="K73" s="148"/>
      <c r="L73" s="393">
        <v>23.5</v>
      </c>
      <c r="M73" s="22">
        <v>4</v>
      </c>
      <c r="N73" s="22"/>
      <c r="O73" s="22"/>
      <c r="P73" s="22"/>
      <c r="Q73" s="22"/>
      <c r="R73" s="23">
        <v>1</v>
      </c>
      <c r="S73" s="24">
        <v>5</v>
      </c>
      <c r="T73" s="25">
        <v>2.5</v>
      </c>
      <c r="U73" s="22">
        <v>4</v>
      </c>
      <c r="V73" s="22">
        <v>3</v>
      </c>
      <c r="W73" s="157">
        <v>2</v>
      </c>
      <c r="X73" s="22"/>
      <c r="Y73" s="22"/>
      <c r="Z73" s="149"/>
      <c r="AA73" s="149"/>
      <c r="AB73" s="22">
        <v>1</v>
      </c>
      <c r="AC73" s="22">
        <v>1</v>
      </c>
      <c r="AD73" s="22">
        <v>0</v>
      </c>
      <c r="AE73" s="22"/>
      <c r="AF73" s="22"/>
      <c r="AG73" s="154"/>
      <c r="AH73" s="28">
        <v>13.5</v>
      </c>
      <c r="AI73" s="38"/>
      <c r="AJ73" s="22">
        <v>5</v>
      </c>
      <c r="AK73" s="22"/>
      <c r="AL73" s="22"/>
      <c r="AM73" s="29"/>
      <c r="AN73" s="30">
        <v>5</v>
      </c>
      <c r="AO73" s="39"/>
      <c r="AP73" s="39"/>
      <c r="AQ73" s="33">
        <v>0</v>
      </c>
      <c r="AR73" s="34">
        <v>23.5</v>
      </c>
      <c r="AS73" s="380">
        <v>0</v>
      </c>
      <c r="AT73" s="355">
        <v>17.066666666666666</v>
      </c>
      <c r="AU73" s="356">
        <f t="shared" si="16"/>
        <v>4</v>
      </c>
      <c r="AV73" s="386">
        <v>3.3333333333333335</v>
      </c>
      <c r="AW73" s="358">
        <v>0</v>
      </c>
      <c r="AX73" s="356">
        <v>10.399999999999997</v>
      </c>
      <c r="AY73" s="387">
        <f t="shared" si="17"/>
        <v>0.27777777777777785</v>
      </c>
      <c r="AZ73" s="388">
        <f t="shared" si="18"/>
        <v>0.72222222222222221</v>
      </c>
      <c r="BA73" s="287">
        <v>998523</v>
      </c>
      <c r="BB73" s="287">
        <f t="shared" si="19"/>
        <v>42490.340425531918</v>
      </c>
    </row>
    <row r="74" spans="1:54" ht="15.75" thickBot="1" x14ac:dyDescent="0.3">
      <c r="A74" s="17" t="s">
        <v>1055</v>
      </c>
      <c r="B74" s="17" t="s">
        <v>1056</v>
      </c>
      <c r="C74" s="97" t="s">
        <v>98</v>
      </c>
      <c r="D74" s="171"/>
      <c r="E74" s="171"/>
      <c r="F74" s="97"/>
      <c r="G74" s="151" t="s">
        <v>609</v>
      </c>
      <c r="H74" s="146" t="s">
        <v>609</v>
      </c>
      <c r="I74" s="151"/>
      <c r="J74" s="152"/>
      <c r="K74" s="148"/>
      <c r="L74" s="394">
        <v>46.5</v>
      </c>
      <c r="M74" s="22">
        <v>12</v>
      </c>
      <c r="N74" s="162"/>
      <c r="O74" s="162"/>
      <c r="P74" s="162"/>
      <c r="Q74" s="22"/>
      <c r="R74" s="23">
        <v>1</v>
      </c>
      <c r="S74" s="24">
        <v>13</v>
      </c>
      <c r="T74" s="25">
        <v>6.5</v>
      </c>
      <c r="U74" s="22">
        <v>4</v>
      </c>
      <c r="V74" s="22">
        <v>3</v>
      </c>
      <c r="W74" s="157">
        <v>2</v>
      </c>
      <c r="X74" s="162"/>
      <c r="Y74" s="162"/>
      <c r="Z74" s="149"/>
      <c r="AA74" s="149"/>
      <c r="AB74" s="22">
        <v>1</v>
      </c>
      <c r="AC74" s="22">
        <v>0</v>
      </c>
      <c r="AD74" s="22">
        <v>0</v>
      </c>
      <c r="AE74" s="22"/>
      <c r="AF74" s="22">
        <v>12</v>
      </c>
      <c r="AG74" s="154" t="s">
        <v>998</v>
      </c>
      <c r="AH74" s="28">
        <v>28.5</v>
      </c>
      <c r="AI74" s="163"/>
      <c r="AJ74" s="22">
        <v>5</v>
      </c>
      <c r="AK74" s="162"/>
      <c r="AL74" s="22"/>
      <c r="AM74" s="29"/>
      <c r="AN74" s="164">
        <v>5</v>
      </c>
      <c r="AO74" s="39"/>
      <c r="AP74" s="39"/>
      <c r="AQ74" s="33">
        <v>0</v>
      </c>
      <c r="AR74" s="34">
        <v>46.5</v>
      </c>
      <c r="AS74" s="380">
        <v>0</v>
      </c>
      <c r="AT74" s="355">
        <v>34.200000000000003</v>
      </c>
      <c r="AU74" s="356">
        <f t="shared" si="16"/>
        <v>9.3333333333333339</v>
      </c>
      <c r="AV74" s="386">
        <v>3.3333333333333335</v>
      </c>
      <c r="AW74" s="358">
        <v>0</v>
      </c>
      <c r="AX74" s="356">
        <v>22.2</v>
      </c>
      <c r="AY74" s="387">
        <f t="shared" si="17"/>
        <v>0.29598308668076112</v>
      </c>
      <c r="AZ74" s="388">
        <f t="shared" si="18"/>
        <v>0.70401691331923888</v>
      </c>
      <c r="BA74" s="287">
        <v>2120097</v>
      </c>
      <c r="BB74" s="287">
        <f t="shared" si="19"/>
        <v>45593.483870967742</v>
      </c>
    </row>
    <row r="75" spans="1:54" ht="15.75" thickBot="1" x14ac:dyDescent="0.3">
      <c r="A75" s="17" t="s">
        <v>1057</v>
      </c>
      <c r="B75" s="17" t="s">
        <v>1058</v>
      </c>
      <c r="C75" s="97" t="s">
        <v>47</v>
      </c>
      <c r="D75" s="18"/>
      <c r="E75" s="18"/>
      <c r="F75" s="18"/>
      <c r="G75" s="151" t="s">
        <v>609</v>
      </c>
      <c r="H75" s="146" t="s">
        <v>609</v>
      </c>
      <c r="I75" s="151"/>
      <c r="J75" s="152"/>
      <c r="K75" s="148"/>
      <c r="L75" s="393">
        <v>48</v>
      </c>
      <c r="M75" s="22">
        <v>20</v>
      </c>
      <c r="N75" s="22"/>
      <c r="O75" s="22"/>
      <c r="P75" s="22"/>
      <c r="Q75" s="22"/>
      <c r="R75" s="23">
        <v>1</v>
      </c>
      <c r="S75" s="24">
        <v>21</v>
      </c>
      <c r="T75" s="25">
        <v>10.5</v>
      </c>
      <c r="U75" s="22">
        <v>4</v>
      </c>
      <c r="V75" s="22">
        <v>3</v>
      </c>
      <c r="W75" s="157">
        <v>2</v>
      </c>
      <c r="X75" s="22"/>
      <c r="Y75" s="22"/>
      <c r="Z75" s="149"/>
      <c r="AA75" s="149"/>
      <c r="AB75" s="22">
        <v>2</v>
      </c>
      <c r="AC75" s="22"/>
      <c r="AD75" s="22">
        <v>0.5</v>
      </c>
      <c r="AE75" s="22"/>
      <c r="AF75" s="22"/>
      <c r="AG75" s="154"/>
      <c r="AH75" s="28">
        <v>22</v>
      </c>
      <c r="AI75" s="38"/>
      <c r="AJ75" s="22">
        <v>5</v>
      </c>
      <c r="AK75" s="22"/>
      <c r="AL75" s="22"/>
      <c r="AM75" s="29"/>
      <c r="AN75" s="30">
        <v>5</v>
      </c>
      <c r="AO75" s="39"/>
      <c r="AP75" s="39"/>
      <c r="AQ75" s="33">
        <v>0</v>
      </c>
      <c r="AR75" s="34">
        <v>48</v>
      </c>
      <c r="AS75" s="380">
        <v>0</v>
      </c>
      <c r="AT75" s="355">
        <v>34.333333333333336</v>
      </c>
      <c r="AU75" s="356">
        <f t="shared" si="16"/>
        <v>15.333333333333334</v>
      </c>
      <c r="AV75" s="386">
        <v>3.3333333333333335</v>
      </c>
      <c r="AW75" s="358">
        <v>0</v>
      </c>
      <c r="AX75" s="356">
        <v>16.999999999999996</v>
      </c>
      <c r="AY75" s="387">
        <f t="shared" si="17"/>
        <v>0.47422680412371143</v>
      </c>
      <c r="AZ75" s="388">
        <f t="shared" si="18"/>
        <v>0.52577319587628868</v>
      </c>
      <c r="BA75" s="287">
        <v>2026600</v>
      </c>
      <c r="BB75" s="287">
        <f t="shared" si="19"/>
        <v>42220.833333333336</v>
      </c>
    </row>
    <row r="76" spans="1:54" ht="15.75" thickBot="1" x14ac:dyDescent="0.3">
      <c r="A76" s="17" t="s">
        <v>1059</v>
      </c>
      <c r="B76" s="17" t="s">
        <v>1060</v>
      </c>
      <c r="C76" s="97" t="s">
        <v>61</v>
      </c>
      <c r="D76" s="150"/>
      <c r="E76" s="150"/>
      <c r="F76" s="150"/>
      <c r="G76" s="151" t="s">
        <v>609</v>
      </c>
      <c r="H76" s="146"/>
      <c r="I76" s="151"/>
      <c r="J76" s="152"/>
      <c r="K76" s="148"/>
      <c r="L76" s="394">
        <v>38.5</v>
      </c>
      <c r="M76" s="22">
        <v>18</v>
      </c>
      <c r="N76" s="153"/>
      <c r="O76" s="153"/>
      <c r="P76" s="153"/>
      <c r="Q76" s="22"/>
      <c r="R76" s="83">
        <v>1</v>
      </c>
      <c r="S76" s="24">
        <v>19</v>
      </c>
      <c r="T76" s="25">
        <v>9.5</v>
      </c>
      <c r="U76" s="22">
        <v>4</v>
      </c>
      <c r="V76" s="22">
        <v>3</v>
      </c>
      <c r="W76" s="157">
        <v>2</v>
      </c>
      <c r="X76" s="153"/>
      <c r="Y76" s="153"/>
      <c r="Z76" s="149"/>
      <c r="AA76" s="149"/>
      <c r="AB76" s="22">
        <v>0</v>
      </c>
      <c r="AC76" s="22">
        <v>1</v>
      </c>
      <c r="AD76" s="22">
        <v>0</v>
      </c>
      <c r="AE76" s="22"/>
      <c r="AF76" s="22"/>
      <c r="AG76" s="154"/>
      <c r="AH76" s="28">
        <v>19.5</v>
      </c>
      <c r="AI76" s="155"/>
      <c r="AJ76" s="153"/>
      <c r="AK76" s="153"/>
      <c r="AL76" s="22"/>
      <c r="AM76" s="29"/>
      <c r="AN76" s="156">
        <v>0</v>
      </c>
      <c r="AO76" s="39"/>
      <c r="AP76" s="39"/>
      <c r="AQ76" s="33">
        <v>0</v>
      </c>
      <c r="AR76" s="34">
        <v>38.5</v>
      </c>
      <c r="AS76" s="380">
        <v>0</v>
      </c>
      <c r="AT76" s="355">
        <v>27.283333333333335</v>
      </c>
      <c r="AU76" s="356">
        <f t="shared" si="16"/>
        <v>12.666666666666666</v>
      </c>
      <c r="AV76" s="386">
        <v>0</v>
      </c>
      <c r="AW76" s="358">
        <v>0</v>
      </c>
      <c r="AX76" s="356">
        <v>14.616666666666664</v>
      </c>
      <c r="AY76" s="387">
        <f t="shared" si="17"/>
        <v>0.46426389737324375</v>
      </c>
      <c r="AZ76" s="388">
        <f t="shared" si="18"/>
        <v>0.53573610262675619</v>
      </c>
      <c r="BA76" s="287">
        <v>1603095</v>
      </c>
      <c r="BB76" s="287">
        <f t="shared" si="19"/>
        <v>41638.831168831166</v>
      </c>
    </row>
    <row r="77" spans="1:54" ht="15.75" thickBot="1" x14ac:dyDescent="0.3">
      <c r="A77" s="17" t="s">
        <v>1061</v>
      </c>
      <c r="B77" s="17" t="s">
        <v>1062</v>
      </c>
      <c r="C77" s="97" t="s">
        <v>55</v>
      </c>
      <c r="D77" s="18"/>
      <c r="E77" s="79"/>
      <c r="F77" s="79"/>
      <c r="G77" s="283" t="s">
        <v>609</v>
      </c>
      <c r="H77" s="283"/>
      <c r="I77" s="151" t="s">
        <v>609</v>
      </c>
      <c r="J77" s="147" t="s">
        <v>155</v>
      </c>
      <c r="K77" s="148" t="s">
        <v>290</v>
      </c>
      <c r="L77" s="394">
        <v>51.7</v>
      </c>
      <c r="M77" s="22">
        <v>12</v>
      </c>
      <c r="N77" s="22"/>
      <c r="O77" s="22"/>
      <c r="P77" s="22"/>
      <c r="Q77" s="31"/>
      <c r="R77" s="49">
        <v>1</v>
      </c>
      <c r="S77" s="286">
        <v>13</v>
      </c>
      <c r="T77" s="25">
        <v>7.6999999999999993</v>
      </c>
      <c r="U77" s="22">
        <v>4</v>
      </c>
      <c r="V77" s="22">
        <v>3</v>
      </c>
      <c r="W77" s="157">
        <v>2</v>
      </c>
      <c r="X77" s="22"/>
      <c r="Y77" s="22"/>
      <c r="Z77" s="149"/>
      <c r="AA77" s="149"/>
      <c r="AB77" s="22">
        <v>1</v>
      </c>
      <c r="AC77" s="22">
        <v>0</v>
      </c>
      <c r="AD77" s="22">
        <v>0.5</v>
      </c>
      <c r="AE77" s="22"/>
      <c r="AF77" s="22"/>
      <c r="AG77" s="154"/>
      <c r="AH77" s="28">
        <v>18.2</v>
      </c>
      <c r="AI77" s="38">
        <v>20.5</v>
      </c>
      <c r="AJ77" s="22"/>
      <c r="AK77" s="22"/>
      <c r="AL77" s="22"/>
      <c r="AM77" s="29"/>
      <c r="AN77" s="30">
        <v>20.5</v>
      </c>
      <c r="AO77" s="39"/>
      <c r="AP77" s="39"/>
      <c r="AQ77" s="33">
        <v>0</v>
      </c>
      <c r="AR77" s="34">
        <v>51.7</v>
      </c>
      <c r="AS77" s="380">
        <v>0</v>
      </c>
      <c r="AT77" s="355">
        <v>34.18333333333333</v>
      </c>
      <c r="AU77" s="356">
        <f t="shared" si="16"/>
        <v>9.3333333333333339</v>
      </c>
      <c r="AV77" s="386">
        <v>13.666666666666666</v>
      </c>
      <c r="AW77" s="358">
        <v>0</v>
      </c>
      <c r="AX77" s="356">
        <v>11.849999999999993</v>
      </c>
      <c r="AY77" s="387">
        <f t="shared" si="17"/>
        <v>0.44059795436664062</v>
      </c>
      <c r="AZ77" s="388">
        <f t="shared" si="18"/>
        <v>0.55940204563335938</v>
      </c>
      <c r="BA77" s="287">
        <v>2622213</v>
      </c>
      <c r="BB77" s="287">
        <f t="shared" si="19"/>
        <v>50719.787234042553</v>
      </c>
    </row>
    <row r="78" spans="1:54" ht="15.75" thickBot="1" x14ac:dyDescent="0.3">
      <c r="A78" s="17" t="s">
        <v>1063</v>
      </c>
      <c r="B78" s="276" t="s">
        <v>1064</v>
      </c>
      <c r="C78" s="97" t="s">
        <v>64</v>
      </c>
      <c r="D78" s="279"/>
      <c r="E78" s="311"/>
      <c r="F78" s="311"/>
      <c r="G78" s="314" t="s">
        <v>57</v>
      </c>
      <c r="H78" s="314"/>
      <c r="I78" s="282"/>
      <c r="J78" s="152"/>
      <c r="K78" s="148"/>
      <c r="L78" s="393">
        <v>48.75</v>
      </c>
      <c r="M78" s="22">
        <v>15</v>
      </c>
      <c r="N78" s="153"/>
      <c r="O78" s="153"/>
      <c r="P78" s="153"/>
      <c r="Q78" s="285">
        <v>1</v>
      </c>
      <c r="R78" s="49">
        <v>1</v>
      </c>
      <c r="S78" s="24">
        <f>SUBTOTAL(9,M78:R78)</f>
        <v>17</v>
      </c>
      <c r="T78" s="433">
        <v>7.5</v>
      </c>
      <c r="U78" s="22">
        <v>6.5</v>
      </c>
      <c r="V78" s="22"/>
      <c r="W78" s="157">
        <v>2</v>
      </c>
      <c r="X78" s="153"/>
      <c r="Y78" s="153"/>
      <c r="Z78" s="149"/>
      <c r="AA78" s="149"/>
      <c r="AB78" s="22"/>
      <c r="AC78" s="22"/>
      <c r="AD78" s="22"/>
      <c r="AE78" s="22"/>
      <c r="AF78" s="22">
        <v>15.75</v>
      </c>
      <c r="AG78" s="154" t="s">
        <v>928</v>
      </c>
      <c r="AH78" s="28">
        <f>SUBTOTAL(9,T78:AF78)</f>
        <v>31.75</v>
      </c>
      <c r="AI78" s="155"/>
      <c r="AJ78" s="153"/>
      <c r="AK78" s="153"/>
      <c r="AL78" s="22"/>
      <c r="AM78" s="29"/>
      <c r="AN78" s="156">
        <v>0</v>
      </c>
      <c r="AO78" s="39"/>
      <c r="AP78" s="39"/>
      <c r="AQ78" s="33">
        <v>0</v>
      </c>
      <c r="AR78" s="34">
        <f>+AQ78+AN78+AH78+S78</f>
        <v>48.75</v>
      </c>
      <c r="AS78" s="380">
        <v>-9.9999999999994316E-2</v>
      </c>
      <c r="AT78" s="355">
        <v>33.25</v>
      </c>
      <c r="AU78" s="356">
        <f t="shared" si="16"/>
        <v>11.333333333333334</v>
      </c>
      <c r="AV78" s="386">
        <v>0</v>
      </c>
      <c r="AW78" s="358">
        <v>0</v>
      </c>
      <c r="AX78" s="356">
        <v>22.583333333333329</v>
      </c>
      <c r="AY78" s="387">
        <f t="shared" si="17"/>
        <v>0.3341523341523342</v>
      </c>
      <c r="AZ78" s="388">
        <f t="shared" si="18"/>
        <v>0.66584766584766575</v>
      </c>
      <c r="BA78" s="287">
        <v>1572188</v>
      </c>
      <c r="BB78" s="287">
        <f t="shared" si="19"/>
        <v>32250.010256410256</v>
      </c>
    </row>
    <row r="79" spans="1:54" ht="15.75" thickBot="1" x14ac:dyDescent="0.3">
      <c r="A79" s="274" t="s">
        <v>1065</v>
      </c>
      <c r="B79" s="277" t="s">
        <v>1066</v>
      </c>
      <c r="C79" s="307" t="s">
        <v>126</v>
      </c>
      <c r="D79" s="274"/>
      <c r="E79" s="277"/>
      <c r="F79" s="277"/>
      <c r="G79" s="314"/>
      <c r="H79" s="314"/>
      <c r="I79" s="317"/>
      <c r="J79" s="319"/>
      <c r="K79" s="19"/>
      <c r="L79" s="394">
        <v>30.3</v>
      </c>
      <c r="M79" s="22">
        <v>2</v>
      </c>
      <c r="N79" s="22"/>
      <c r="O79" s="22"/>
      <c r="P79" s="22"/>
      <c r="Q79" s="285"/>
      <c r="R79" s="49"/>
      <c r="S79" s="286">
        <v>2</v>
      </c>
      <c r="T79" s="166">
        <v>0.6</v>
      </c>
      <c r="U79" s="22"/>
      <c r="V79" s="22"/>
      <c r="W79" s="157">
        <v>2</v>
      </c>
      <c r="X79" s="22"/>
      <c r="Y79" s="22">
        <v>24.7</v>
      </c>
      <c r="Z79" s="149"/>
      <c r="AA79" s="149"/>
      <c r="AB79" s="22">
        <v>0</v>
      </c>
      <c r="AC79" s="22">
        <v>0</v>
      </c>
      <c r="AD79" s="22">
        <v>1</v>
      </c>
      <c r="AE79" s="22"/>
      <c r="AF79" s="22"/>
      <c r="AG79" s="154"/>
      <c r="AH79" s="28">
        <v>28.3</v>
      </c>
      <c r="AI79" s="38"/>
      <c r="AJ79" s="22"/>
      <c r="AK79" s="22"/>
      <c r="AL79" s="22"/>
      <c r="AM79" s="29"/>
      <c r="AN79" s="30">
        <v>0</v>
      </c>
      <c r="AO79" s="39"/>
      <c r="AP79" s="39"/>
      <c r="AQ79" s="33">
        <v>0</v>
      </c>
      <c r="AR79" s="34">
        <v>30.3</v>
      </c>
      <c r="AS79" s="380">
        <v>0</v>
      </c>
      <c r="AT79" s="355">
        <v>19.316666666666666</v>
      </c>
      <c r="AU79" s="356">
        <f t="shared" si="16"/>
        <v>1.3333333333333333</v>
      </c>
      <c r="AV79" s="386">
        <v>0</v>
      </c>
      <c r="AW79" s="358">
        <v>0</v>
      </c>
      <c r="AX79" s="356">
        <v>17.983333333333334</v>
      </c>
      <c r="AY79" s="387">
        <f t="shared" si="17"/>
        <v>6.9025021570319242E-2</v>
      </c>
      <c r="AZ79" s="388">
        <f t="shared" si="18"/>
        <v>0.9309749784296808</v>
      </c>
      <c r="BA79" s="287">
        <v>1358652</v>
      </c>
      <c r="BB79" s="287">
        <f t="shared" si="19"/>
        <v>44840</v>
      </c>
    </row>
    <row r="80" spans="1:54" ht="15.75" thickBot="1" x14ac:dyDescent="0.3">
      <c r="A80" s="274" t="s">
        <v>1067</v>
      </c>
      <c r="B80" s="277" t="s">
        <v>1068</v>
      </c>
      <c r="C80" s="275" t="s">
        <v>126</v>
      </c>
      <c r="D80" s="281"/>
      <c r="E80" s="277"/>
      <c r="F80" s="277"/>
      <c r="G80" s="314"/>
      <c r="H80" s="314"/>
      <c r="I80" s="282"/>
      <c r="J80" s="152"/>
      <c r="K80" s="148"/>
      <c r="L80" s="393">
        <v>36.799999999999997</v>
      </c>
      <c r="M80" s="22">
        <v>17</v>
      </c>
      <c r="N80" s="22"/>
      <c r="O80" s="22"/>
      <c r="P80" s="22"/>
      <c r="Q80" s="285"/>
      <c r="R80" s="49"/>
      <c r="S80" s="286">
        <v>17</v>
      </c>
      <c r="T80" s="166">
        <v>5.0999999999999996</v>
      </c>
      <c r="U80" s="22"/>
      <c r="V80" s="22"/>
      <c r="W80" s="157">
        <v>2</v>
      </c>
      <c r="X80" s="22"/>
      <c r="Y80" s="22">
        <v>11.7</v>
      </c>
      <c r="Z80" s="149"/>
      <c r="AA80" s="149"/>
      <c r="AB80" s="22">
        <v>0</v>
      </c>
      <c r="AC80" s="22">
        <v>0</v>
      </c>
      <c r="AD80" s="22">
        <v>1</v>
      </c>
      <c r="AE80" s="22"/>
      <c r="AF80" s="22"/>
      <c r="AG80" s="154"/>
      <c r="AH80" s="28">
        <v>19.799999999999997</v>
      </c>
      <c r="AI80" s="38"/>
      <c r="AJ80" s="22"/>
      <c r="AK80" s="22"/>
      <c r="AL80" s="22"/>
      <c r="AM80" s="29"/>
      <c r="AN80" s="30">
        <v>0</v>
      </c>
      <c r="AO80" s="39"/>
      <c r="AP80" s="39"/>
      <c r="AQ80" s="33">
        <v>0</v>
      </c>
      <c r="AR80" s="34">
        <v>36.799999999999997</v>
      </c>
      <c r="AS80" s="380">
        <v>0</v>
      </c>
      <c r="AT80" s="355">
        <v>24.433333333333334</v>
      </c>
      <c r="AU80" s="356">
        <f t="shared" si="16"/>
        <v>11.333333333333334</v>
      </c>
      <c r="AV80" s="386">
        <v>0</v>
      </c>
      <c r="AW80" s="358">
        <v>0</v>
      </c>
      <c r="AX80" s="356">
        <v>13.099999999999994</v>
      </c>
      <c r="AY80" s="387">
        <f t="shared" si="17"/>
        <v>0.46384720327421564</v>
      </c>
      <c r="AZ80" s="388">
        <f t="shared" si="18"/>
        <v>0.53615279672578431</v>
      </c>
      <c r="BA80" s="287">
        <v>1411280</v>
      </c>
      <c r="BB80" s="287">
        <f t="shared" si="19"/>
        <v>38350</v>
      </c>
    </row>
    <row r="81" spans="1:54" ht="15.75" thickBot="1" x14ac:dyDescent="0.3">
      <c r="A81" s="274" t="s">
        <v>1069</v>
      </c>
      <c r="B81" s="277" t="s">
        <v>1070</v>
      </c>
      <c r="C81" s="275" t="s">
        <v>126</v>
      </c>
      <c r="D81" s="281"/>
      <c r="E81" s="277"/>
      <c r="F81" s="277"/>
      <c r="G81" s="314"/>
      <c r="H81" s="314" t="s">
        <v>609</v>
      </c>
      <c r="I81" s="282"/>
      <c r="J81" s="20"/>
      <c r="K81" s="19"/>
      <c r="L81" s="394">
        <v>38.200000000000003</v>
      </c>
      <c r="M81" s="22">
        <v>12</v>
      </c>
      <c r="N81" s="22"/>
      <c r="O81" s="22"/>
      <c r="P81" s="22"/>
      <c r="Q81" s="285"/>
      <c r="R81" s="49"/>
      <c r="S81" s="286">
        <v>12</v>
      </c>
      <c r="T81" s="166">
        <v>3.5999999999999996</v>
      </c>
      <c r="U81" s="22"/>
      <c r="V81" s="22"/>
      <c r="W81" s="157">
        <v>2</v>
      </c>
      <c r="X81" s="22">
        <v>4</v>
      </c>
      <c r="Y81" s="22">
        <v>2.6</v>
      </c>
      <c r="Z81" s="149"/>
      <c r="AA81" s="149"/>
      <c r="AB81" s="22"/>
      <c r="AC81" s="22"/>
      <c r="AD81" s="22"/>
      <c r="AE81" s="22"/>
      <c r="AF81" s="22"/>
      <c r="AG81" s="154"/>
      <c r="AH81" s="28">
        <v>12.2</v>
      </c>
      <c r="AI81" s="38"/>
      <c r="AJ81" s="22">
        <v>14</v>
      </c>
      <c r="AK81" s="22"/>
      <c r="AL81" s="22"/>
      <c r="AM81" s="29"/>
      <c r="AN81" s="30">
        <v>14</v>
      </c>
      <c r="AO81" s="39"/>
      <c r="AP81" s="39"/>
      <c r="AQ81" s="33">
        <v>0</v>
      </c>
      <c r="AR81" s="34">
        <v>38.200000000000003</v>
      </c>
      <c r="AS81" s="380">
        <v>0</v>
      </c>
      <c r="AT81" s="355">
        <v>26.166666666666668</v>
      </c>
      <c r="AU81" s="356">
        <f t="shared" si="16"/>
        <v>8</v>
      </c>
      <c r="AV81" s="386">
        <v>9.3333333333333339</v>
      </c>
      <c r="AW81" s="358">
        <v>0</v>
      </c>
      <c r="AX81" s="356">
        <v>8.8333333333333304</v>
      </c>
      <c r="AY81" s="387">
        <f t="shared" si="17"/>
        <v>0.47524752475247539</v>
      </c>
      <c r="AZ81" s="388">
        <f t="shared" si="18"/>
        <v>0.52475247524752477</v>
      </c>
      <c r="BA81" s="287">
        <v>2248939</v>
      </c>
      <c r="BB81" s="287">
        <f t="shared" si="19"/>
        <v>58872.74869109947</v>
      </c>
    </row>
    <row r="82" spans="1:54" ht="15.75" thickBot="1" x14ac:dyDescent="0.3">
      <c r="A82" s="274" t="s">
        <v>1071</v>
      </c>
      <c r="B82" s="277" t="s">
        <v>1072</v>
      </c>
      <c r="C82" s="275" t="s">
        <v>99</v>
      </c>
      <c r="D82" s="281"/>
      <c r="E82" s="277"/>
      <c r="F82" s="313" t="s">
        <v>99</v>
      </c>
      <c r="G82" s="314"/>
      <c r="H82" s="314"/>
      <c r="I82" s="282"/>
      <c r="J82" s="152"/>
      <c r="K82" s="148"/>
      <c r="L82" s="394">
        <v>24.8</v>
      </c>
      <c r="M82" s="22">
        <v>12</v>
      </c>
      <c r="N82" s="22"/>
      <c r="O82" s="22"/>
      <c r="P82" s="22">
        <v>4</v>
      </c>
      <c r="Q82" s="285"/>
      <c r="R82" s="49"/>
      <c r="S82" s="286">
        <v>16</v>
      </c>
      <c r="T82" s="166">
        <v>4.8</v>
      </c>
      <c r="U82" s="22"/>
      <c r="V82" s="22"/>
      <c r="W82" s="157">
        <v>2</v>
      </c>
      <c r="X82" s="22"/>
      <c r="Y82" s="22"/>
      <c r="Z82" s="149"/>
      <c r="AA82" s="149"/>
      <c r="AB82" s="22">
        <v>2</v>
      </c>
      <c r="AC82" s="22">
        <v>0</v>
      </c>
      <c r="AD82" s="22">
        <v>0</v>
      </c>
      <c r="AE82" s="22"/>
      <c r="AF82" s="22"/>
      <c r="AG82" s="154"/>
      <c r="AH82" s="28">
        <v>8.8000000000000007</v>
      </c>
      <c r="AI82" s="38"/>
      <c r="AJ82" s="22"/>
      <c r="AK82" s="22"/>
      <c r="AL82" s="22"/>
      <c r="AM82" s="29"/>
      <c r="AN82" s="30">
        <v>0</v>
      </c>
      <c r="AO82" s="39"/>
      <c r="AP82" s="39"/>
      <c r="AQ82" s="33">
        <v>0</v>
      </c>
      <c r="AR82" s="34">
        <v>24.8</v>
      </c>
      <c r="AS82" s="380">
        <v>0</v>
      </c>
      <c r="AT82" s="355">
        <v>23.125</v>
      </c>
      <c r="AU82" s="356">
        <f t="shared" si="16"/>
        <v>12</v>
      </c>
      <c r="AV82" s="386">
        <v>0</v>
      </c>
      <c r="AW82" s="358">
        <v>0</v>
      </c>
      <c r="AX82" s="356">
        <v>12.458333333333329</v>
      </c>
      <c r="AY82" s="387">
        <f t="shared" si="17"/>
        <v>0.49063032367972753</v>
      </c>
      <c r="AZ82" s="388">
        <f t="shared" si="18"/>
        <v>0.50936967632027252</v>
      </c>
      <c r="BA82" s="287">
        <v>787400</v>
      </c>
      <c r="BB82" s="287">
        <f t="shared" si="19"/>
        <v>31750</v>
      </c>
    </row>
    <row r="83" spans="1:54" ht="15.75" thickBot="1" x14ac:dyDescent="0.3">
      <c r="A83" s="274" t="s">
        <v>1073</v>
      </c>
      <c r="B83" s="277" t="s">
        <v>1074</v>
      </c>
      <c r="C83" s="275" t="s">
        <v>64</v>
      </c>
      <c r="D83" s="279"/>
      <c r="E83" s="311"/>
      <c r="F83" s="311"/>
      <c r="G83" s="314" t="s">
        <v>57</v>
      </c>
      <c r="H83" s="314"/>
      <c r="I83" s="282"/>
      <c r="J83" s="152"/>
      <c r="K83" s="148"/>
      <c r="L83" s="393">
        <v>36</v>
      </c>
      <c r="M83" s="22">
        <v>14</v>
      </c>
      <c r="N83" s="153"/>
      <c r="O83" s="153"/>
      <c r="P83" s="153"/>
      <c r="Q83" s="285"/>
      <c r="R83" s="49">
        <v>1</v>
      </c>
      <c r="S83" s="24">
        <f>SUBTOTAL(9,M83:R83)</f>
        <v>15</v>
      </c>
      <c r="T83" s="433">
        <v>7</v>
      </c>
      <c r="U83" s="22">
        <v>6.5</v>
      </c>
      <c r="V83" s="22"/>
      <c r="W83" s="157">
        <v>2</v>
      </c>
      <c r="X83" s="153"/>
      <c r="Y83" s="153"/>
      <c r="Z83" s="149"/>
      <c r="AA83" s="149"/>
      <c r="AB83" s="22"/>
      <c r="AC83" s="22"/>
      <c r="AD83" s="22"/>
      <c r="AE83" s="22"/>
      <c r="AF83" s="22">
        <v>5.5</v>
      </c>
      <c r="AG83" s="154" t="s">
        <v>928</v>
      </c>
      <c r="AH83" s="28">
        <f>SUBTOTAL(9,T83:AF83)</f>
        <v>21</v>
      </c>
      <c r="AI83" s="155"/>
      <c r="AJ83" s="153"/>
      <c r="AK83" s="153"/>
      <c r="AL83" s="22"/>
      <c r="AM83" s="29"/>
      <c r="AN83" s="156">
        <v>0</v>
      </c>
      <c r="AO83" s="39"/>
      <c r="AP83" s="39"/>
      <c r="AQ83" s="33">
        <v>0</v>
      </c>
      <c r="AR83" s="34">
        <f>+AQ83+AN83+AH83+S83</f>
        <v>36</v>
      </c>
      <c r="AS83" s="380">
        <v>0</v>
      </c>
      <c r="AT83" s="355">
        <v>27.216666666666665</v>
      </c>
      <c r="AU83" s="356">
        <f t="shared" si="16"/>
        <v>10</v>
      </c>
      <c r="AV83" s="386">
        <v>0</v>
      </c>
      <c r="AW83" s="358">
        <v>0</v>
      </c>
      <c r="AX83" s="356">
        <v>17.216666666666661</v>
      </c>
      <c r="AY83" s="387">
        <f t="shared" si="17"/>
        <v>0.3674219228413963</v>
      </c>
      <c r="AZ83" s="388">
        <f t="shared" si="18"/>
        <v>0.6325780771586037</v>
      </c>
      <c r="BA83" s="287">
        <v>1102904</v>
      </c>
      <c r="BB83" s="287">
        <f t="shared" si="19"/>
        <v>30636.222222222223</v>
      </c>
    </row>
    <row r="84" spans="1:54" ht="15.75" thickBot="1" x14ac:dyDescent="0.3">
      <c r="A84" s="274" t="s">
        <v>1075</v>
      </c>
      <c r="B84" s="277" t="s">
        <v>1076</v>
      </c>
      <c r="C84" s="275" t="s">
        <v>56</v>
      </c>
      <c r="D84" s="281"/>
      <c r="E84" s="277"/>
      <c r="F84" s="277"/>
      <c r="G84" s="314" t="s">
        <v>609</v>
      </c>
      <c r="H84" s="314"/>
      <c r="I84" s="282"/>
      <c r="J84" s="152"/>
      <c r="K84" s="148"/>
      <c r="L84" s="394">
        <v>24</v>
      </c>
      <c r="M84" s="22">
        <v>9</v>
      </c>
      <c r="N84" s="22"/>
      <c r="O84" s="22"/>
      <c r="P84" s="22"/>
      <c r="Q84" s="285"/>
      <c r="R84" s="49">
        <v>1</v>
      </c>
      <c r="S84" s="286">
        <v>10</v>
      </c>
      <c r="T84" s="166">
        <v>5</v>
      </c>
      <c r="U84" s="22">
        <v>4</v>
      </c>
      <c r="V84" s="22">
        <v>3</v>
      </c>
      <c r="W84" s="157">
        <v>2</v>
      </c>
      <c r="X84" s="22"/>
      <c r="Y84" s="22"/>
      <c r="Z84" s="149"/>
      <c r="AA84" s="149"/>
      <c r="AB84" s="22"/>
      <c r="AC84" s="22"/>
      <c r="AD84" s="22"/>
      <c r="AE84" s="22"/>
      <c r="AF84" s="22" t="s">
        <v>609</v>
      </c>
      <c r="AG84" s="154" t="s">
        <v>1077</v>
      </c>
      <c r="AH84" s="28">
        <v>14</v>
      </c>
      <c r="AI84" s="38"/>
      <c r="AJ84" s="22"/>
      <c r="AK84" s="22"/>
      <c r="AL84" s="22"/>
      <c r="AM84" s="29"/>
      <c r="AN84" s="30">
        <v>0</v>
      </c>
      <c r="AO84" s="39"/>
      <c r="AP84" s="39"/>
      <c r="AQ84" s="33">
        <v>0</v>
      </c>
      <c r="AR84" s="34">
        <v>24</v>
      </c>
      <c r="AS84" s="380">
        <v>0</v>
      </c>
      <c r="AT84" s="355">
        <v>25.15</v>
      </c>
      <c r="AU84" s="356">
        <f t="shared" si="16"/>
        <v>6.666666666666667</v>
      </c>
      <c r="AV84" s="386">
        <v>0</v>
      </c>
      <c r="AW84" s="358">
        <v>0</v>
      </c>
      <c r="AX84" s="356">
        <v>18.483333333333327</v>
      </c>
      <c r="AY84" s="387">
        <f t="shared" si="17"/>
        <v>0.26507620941020549</v>
      </c>
      <c r="AZ84" s="388">
        <f t="shared" si="18"/>
        <v>0.73492379058979451</v>
      </c>
      <c r="BA84" s="287">
        <v>792000</v>
      </c>
      <c r="BB84" s="287">
        <f t="shared" si="19"/>
        <v>33000</v>
      </c>
    </row>
    <row r="85" spans="1:54" ht="15.75" thickBot="1" x14ac:dyDescent="0.3">
      <c r="A85" s="274" t="s">
        <v>1078</v>
      </c>
      <c r="B85" s="277" t="s">
        <v>1079</v>
      </c>
      <c r="C85" s="275" t="s">
        <v>61</v>
      </c>
      <c r="D85" s="279"/>
      <c r="E85" s="311"/>
      <c r="F85" s="311"/>
      <c r="G85" s="314" t="s">
        <v>609</v>
      </c>
      <c r="H85" s="314"/>
      <c r="I85" s="282"/>
      <c r="J85" s="152"/>
      <c r="K85" s="148"/>
      <c r="L85" s="393">
        <v>49</v>
      </c>
      <c r="M85" s="22">
        <v>23</v>
      </c>
      <c r="N85" s="153"/>
      <c r="O85" s="153"/>
      <c r="P85" s="153"/>
      <c r="Q85" s="285"/>
      <c r="R85" s="49">
        <v>1</v>
      </c>
      <c r="S85" s="286">
        <v>24</v>
      </c>
      <c r="T85" s="25">
        <v>12</v>
      </c>
      <c r="U85" s="22">
        <v>4</v>
      </c>
      <c r="V85" s="22">
        <v>3</v>
      </c>
      <c r="W85" s="157">
        <v>2</v>
      </c>
      <c r="X85" s="153"/>
      <c r="Y85" s="153"/>
      <c r="Z85" s="149"/>
      <c r="AA85" s="149"/>
      <c r="AB85" s="22">
        <v>4</v>
      </c>
      <c r="AC85" s="22">
        <v>0</v>
      </c>
      <c r="AD85" s="22">
        <v>0</v>
      </c>
      <c r="AE85" s="22"/>
      <c r="AF85" s="22"/>
      <c r="AG85" s="154"/>
      <c r="AH85" s="28">
        <v>25</v>
      </c>
      <c r="AI85" s="155"/>
      <c r="AJ85" s="153"/>
      <c r="AK85" s="153"/>
      <c r="AL85" s="22"/>
      <c r="AM85" s="29"/>
      <c r="AN85" s="156">
        <v>0</v>
      </c>
      <c r="AO85" s="39"/>
      <c r="AP85" s="39"/>
      <c r="AQ85" s="33">
        <v>0</v>
      </c>
      <c r="AR85" s="34">
        <v>49</v>
      </c>
      <c r="AS85" s="380">
        <v>0</v>
      </c>
      <c r="AT85" s="355">
        <v>34.383333333333333</v>
      </c>
      <c r="AU85" s="356">
        <f t="shared" si="16"/>
        <v>18.666666666666668</v>
      </c>
      <c r="AV85" s="386">
        <v>0</v>
      </c>
      <c r="AW85" s="358">
        <v>0</v>
      </c>
      <c r="AX85" s="356">
        <v>18.383333333333326</v>
      </c>
      <c r="AY85" s="387">
        <f t="shared" si="17"/>
        <v>0.50382366171839865</v>
      </c>
      <c r="AZ85" s="388">
        <f t="shared" si="18"/>
        <v>0.49617633828160129</v>
      </c>
      <c r="BA85" s="287">
        <v>2390024</v>
      </c>
      <c r="BB85" s="287">
        <f t="shared" si="19"/>
        <v>48776</v>
      </c>
    </row>
    <row r="86" spans="1:54" ht="15.75" thickBot="1" x14ac:dyDescent="0.3">
      <c r="A86" s="274" t="s">
        <v>1080</v>
      </c>
      <c r="B86" s="277" t="s">
        <v>1081</v>
      </c>
      <c r="C86" s="275" t="s">
        <v>126</v>
      </c>
      <c r="D86" s="281"/>
      <c r="E86" s="277"/>
      <c r="F86" s="277"/>
      <c r="G86" s="314"/>
      <c r="H86" s="314"/>
      <c r="I86" s="282"/>
      <c r="J86" s="152"/>
      <c r="K86" s="148"/>
      <c r="L86" s="394">
        <v>23</v>
      </c>
      <c r="M86" s="22">
        <v>15</v>
      </c>
      <c r="N86" s="22"/>
      <c r="O86" s="22"/>
      <c r="P86" s="22"/>
      <c r="Q86" s="285"/>
      <c r="R86" s="49"/>
      <c r="S86" s="286">
        <v>15</v>
      </c>
      <c r="T86" s="25">
        <v>4.5</v>
      </c>
      <c r="U86" s="22"/>
      <c r="V86" s="22"/>
      <c r="W86" s="157">
        <v>2</v>
      </c>
      <c r="X86" s="22"/>
      <c r="Y86" s="22"/>
      <c r="Z86" s="149"/>
      <c r="AA86" s="149"/>
      <c r="AB86" s="22"/>
      <c r="AC86" s="22">
        <v>1</v>
      </c>
      <c r="AD86" s="22">
        <v>0.5</v>
      </c>
      <c r="AE86" s="22"/>
      <c r="AF86" s="22"/>
      <c r="AG86" s="154"/>
      <c r="AH86" s="28">
        <v>8</v>
      </c>
      <c r="AI86" s="38"/>
      <c r="AJ86" s="22"/>
      <c r="AK86" s="22"/>
      <c r="AL86" s="22"/>
      <c r="AM86" s="29"/>
      <c r="AN86" s="30">
        <v>0</v>
      </c>
      <c r="AO86" s="39"/>
      <c r="AP86" s="39"/>
      <c r="AQ86" s="33">
        <v>0</v>
      </c>
      <c r="AR86" s="34">
        <v>23</v>
      </c>
      <c r="AS86" s="380">
        <v>0</v>
      </c>
      <c r="AT86" s="362">
        <v>17.266666666666666</v>
      </c>
      <c r="AU86" s="363">
        <f t="shared" si="16"/>
        <v>10</v>
      </c>
      <c r="AV86" s="383">
        <v>0</v>
      </c>
      <c r="AW86" s="365">
        <v>0</v>
      </c>
      <c r="AX86" s="363">
        <v>7.2666666666666622</v>
      </c>
      <c r="AY86" s="384">
        <f t="shared" si="17"/>
        <v>0.57915057915057933</v>
      </c>
      <c r="AZ86" s="385">
        <f t="shared" si="18"/>
        <v>0.42084942084942067</v>
      </c>
      <c r="BA86" s="287">
        <v>895510</v>
      </c>
      <c r="BB86" s="287">
        <f t="shared" si="19"/>
        <v>38935.217391304344</v>
      </c>
    </row>
    <row r="87" spans="1:54" x14ac:dyDescent="0.25">
      <c r="I87" s="9"/>
      <c r="J87" s="9"/>
      <c r="K87" s="9"/>
      <c r="L87" s="272">
        <f>SUM(L4:L86)</f>
        <v>3267.8</v>
      </c>
      <c r="M87" s="301">
        <f>SUM(M4:M86)</f>
        <v>1181.5</v>
      </c>
      <c r="N87" s="301">
        <f t="shared" ref="N87:AV87" si="20">SUM(N4:N86)</f>
        <v>16</v>
      </c>
      <c r="O87" s="301">
        <f t="shared" si="20"/>
        <v>0</v>
      </c>
      <c r="P87" s="301">
        <f t="shared" si="20"/>
        <v>63.5</v>
      </c>
      <c r="Q87" s="301">
        <f t="shared" si="20"/>
        <v>21</v>
      </c>
      <c r="R87" s="301">
        <f t="shared" si="20"/>
        <v>45</v>
      </c>
      <c r="S87" s="301">
        <f t="shared" si="20"/>
        <v>1327</v>
      </c>
      <c r="T87" s="301">
        <f t="shared" si="20"/>
        <v>617.70000000000005</v>
      </c>
      <c r="U87" s="301">
        <f t="shared" si="20"/>
        <v>226.5</v>
      </c>
      <c r="V87" s="301">
        <f t="shared" si="20"/>
        <v>96</v>
      </c>
      <c r="W87" s="301">
        <f t="shared" si="20"/>
        <v>164</v>
      </c>
      <c r="X87" s="301">
        <f t="shared" si="20"/>
        <v>4</v>
      </c>
      <c r="Y87" s="301">
        <f t="shared" si="20"/>
        <v>127.30000000000001</v>
      </c>
      <c r="Z87" s="301">
        <f t="shared" si="20"/>
        <v>0</v>
      </c>
      <c r="AA87" s="301">
        <f t="shared" si="20"/>
        <v>0</v>
      </c>
      <c r="AB87" s="301">
        <f t="shared" si="20"/>
        <v>87</v>
      </c>
      <c r="AC87" s="301">
        <f t="shared" si="20"/>
        <v>56.75</v>
      </c>
      <c r="AD87" s="301">
        <f t="shared" si="20"/>
        <v>34.299999999999997</v>
      </c>
      <c r="AE87" s="301">
        <f t="shared" si="20"/>
        <v>0</v>
      </c>
      <c r="AF87" s="301">
        <f t="shared" si="20"/>
        <v>144.85000000000002</v>
      </c>
      <c r="AG87" s="301">
        <f t="shared" si="20"/>
        <v>0</v>
      </c>
      <c r="AH87" s="301">
        <f t="shared" si="20"/>
        <v>1558.4</v>
      </c>
      <c r="AI87" s="301">
        <f t="shared" si="20"/>
        <v>249</v>
      </c>
      <c r="AJ87" s="301">
        <f t="shared" si="20"/>
        <v>96</v>
      </c>
      <c r="AK87" s="301">
        <f t="shared" si="20"/>
        <v>9</v>
      </c>
      <c r="AL87" s="301">
        <f t="shared" si="20"/>
        <v>0</v>
      </c>
      <c r="AM87" s="301">
        <f t="shared" si="20"/>
        <v>0</v>
      </c>
      <c r="AN87" s="301">
        <f t="shared" si="20"/>
        <v>354</v>
      </c>
      <c r="AO87" s="301">
        <f t="shared" si="20"/>
        <v>28.6</v>
      </c>
      <c r="AP87" s="301">
        <f t="shared" si="20"/>
        <v>0</v>
      </c>
      <c r="AQ87" s="301">
        <f t="shared" si="20"/>
        <v>28.6</v>
      </c>
      <c r="AR87" s="301">
        <f t="shared" si="20"/>
        <v>3268</v>
      </c>
      <c r="AS87" s="301">
        <f t="shared" si="20"/>
        <v>0.45000000000001705</v>
      </c>
      <c r="AT87" s="35">
        <f t="shared" si="20"/>
        <v>2446.0949999999998</v>
      </c>
      <c r="AU87" s="7">
        <f t="shared" si="16"/>
        <v>942.66666666666663</v>
      </c>
      <c r="AV87" s="35">
        <f t="shared" si="20"/>
        <v>236.00000000000003</v>
      </c>
      <c r="AW87" s="35">
        <f>SUM(AW4:AW86)</f>
        <v>19.066666666666677</v>
      </c>
      <c r="AX87" s="35">
        <f t="shared" ref="AX87" si="21">SUM(AX4:AX86)</f>
        <v>1322.361666666666</v>
      </c>
      <c r="AY87" s="273">
        <f>AVERAGE(AY4:AY86)</f>
        <v>0.41004798696960404</v>
      </c>
      <c r="AZ87" s="273">
        <f>AVERAGE(AZ4:AZ86)</f>
        <v>0.58995201303039613</v>
      </c>
      <c r="BA87" s="287"/>
      <c r="BB87" s="287"/>
    </row>
    <row r="88" spans="1:54" x14ac:dyDescent="0.25">
      <c r="AW88" t="s">
        <v>1197</v>
      </c>
      <c r="AY88" s="337">
        <v>0.39</v>
      </c>
      <c r="AZ88" s="390">
        <v>0.61</v>
      </c>
      <c r="BA88" s="391"/>
      <c r="BB88" s="287"/>
    </row>
    <row r="89" spans="1:54" x14ac:dyDescent="0.25">
      <c r="BA89" s="287"/>
      <c r="BB89" s="287"/>
    </row>
    <row r="90" spans="1:54" x14ac:dyDescent="0.25">
      <c r="B90" s="403" t="s">
        <v>1199</v>
      </c>
      <c r="C90" s="395" t="s">
        <v>1198</v>
      </c>
    </row>
    <row r="92" spans="1:54" ht="20.45" hidden="1" customHeight="1" thickBot="1" x14ac:dyDescent="0.3">
      <c r="B92" s="424" t="s">
        <v>942</v>
      </c>
      <c r="C92" s="426" t="s">
        <v>64</v>
      </c>
      <c r="D92" s="425"/>
      <c r="E92" s="425"/>
      <c r="F92" s="425"/>
      <c r="G92" s="425"/>
      <c r="H92" s="425"/>
      <c r="I92" s="425"/>
      <c r="J92" s="425"/>
      <c r="K92" s="423"/>
      <c r="L92" s="427">
        <v>36</v>
      </c>
      <c r="M92" s="423"/>
      <c r="N92" s="428">
        <v>14</v>
      </c>
      <c r="O92" s="425"/>
      <c r="P92" s="425"/>
      <c r="Q92" s="429">
        <v>1</v>
      </c>
      <c r="R92" s="429">
        <v>0</v>
      </c>
      <c r="S92" s="430">
        <v>15</v>
      </c>
      <c r="T92" s="423"/>
      <c r="U92" s="429">
        <v>7</v>
      </c>
      <c r="V92" s="429">
        <v>6.5</v>
      </c>
      <c r="W92" s="425"/>
      <c r="X92" s="429">
        <v>2</v>
      </c>
      <c r="Y92" s="425"/>
      <c r="Z92" s="425"/>
      <c r="AA92" s="425"/>
      <c r="AB92" s="425"/>
      <c r="AC92" s="425"/>
      <c r="AD92" s="425"/>
      <c r="AE92" s="425"/>
      <c r="AF92" s="425"/>
      <c r="AG92" s="431">
        <v>5.5</v>
      </c>
      <c r="AH92" s="429" t="s">
        <v>1204</v>
      </c>
      <c r="AI92" s="432">
        <v>21</v>
      </c>
    </row>
  </sheetData>
  <autoFilter ref="A3:AZ88">
    <filterColumn colId="2">
      <filters blank="1">
        <filter val="ART"/>
        <filter val="CAS"/>
        <filter val="EFI"/>
        <filter val="EGB"/>
        <filter val="EGB - ING"/>
        <filter val="FIL"/>
        <filter val="HIS"/>
        <filter val="ING"/>
        <filter val="MAT"/>
        <filter val="MUS"/>
        <filter val="NAT"/>
        <filter val="REL"/>
        <filter val="TEC"/>
      </filters>
    </filterColumn>
  </autoFilter>
  <sortState ref="A4:BG86">
    <sortCondition ref="B4:B86"/>
  </sortState>
  <dataValidations count="2">
    <dataValidation type="list" allowBlank="1" showErrorMessage="1" sqref="J35 J45 J55 C55 C79:D79 J79">
      <formula1>#REF!</formula1>
    </dataValidation>
    <dataValidation type="list" allowBlank="1" showErrorMessage="1" sqref="D35:F35 D55:F55 D45:F45">
      <formula1>$C$10:$C$27</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14:formula1>
            <xm:f>'C:\Users\Constanza Nieto\Documents\Seduc\MODELO HNL y Asigna\2025\Distribución Horas\Recibido\[Distribución de Horas Huelén 2025 REAL (2).xlsx]Hoja1'!#REF!</xm:f>
          </x14:formula1>
          <xm:sqref>J4:J34 J36:J44 J46:J54 C4:F32 C36:F44 D33:F34 C33:C35 C45 C46:F54 C56:F77 K4:K86 J56:J78 J80:J86 C78:D78 C80:D86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75"/>
  <sheetViews>
    <sheetView zoomScale="80" zoomScaleNormal="80" workbookViewId="0">
      <pane xSplit="2" ySplit="3" topLeftCell="P4" activePane="bottomRight" state="frozen"/>
      <selection pane="topRight" activeCell="C1" sqref="C1"/>
      <selection pane="bottomLeft" activeCell="A4" sqref="A4"/>
      <selection pane="bottomRight" activeCell="AT2" sqref="AT2"/>
    </sheetView>
  </sheetViews>
  <sheetFormatPr baseColWidth="10" defaultRowHeight="15" x14ac:dyDescent="0.25"/>
  <cols>
    <col min="3" max="11" width="5.28515625" customWidth="1"/>
    <col min="12" max="12" width="5.5703125" customWidth="1"/>
    <col min="13" max="33" width="5.28515625" customWidth="1"/>
    <col min="34" max="34" width="6.5703125" customWidth="1"/>
    <col min="35" max="39" width="5.28515625" customWidth="1"/>
    <col min="40" max="40" width="6" customWidth="1"/>
    <col min="41" max="43" width="5.28515625" customWidth="1"/>
    <col min="44" max="45" width="6.7109375" customWidth="1"/>
    <col min="46" max="50" width="5.28515625" customWidth="1"/>
    <col min="51" max="52" width="5.28515625" style="335" customWidth="1"/>
  </cols>
  <sheetData>
    <row r="1" spans="1:55" ht="21.75" thickBot="1" x14ac:dyDescent="0.4">
      <c r="A1" s="299" t="s">
        <v>535</v>
      </c>
      <c r="B1" s="9"/>
      <c r="C1" s="1"/>
      <c r="D1" s="1"/>
      <c r="E1" s="1"/>
      <c r="F1" s="1"/>
      <c r="G1" s="1"/>
      <c r="H1" s="2"/>
      <c r="I1" s="2"/>
      <c r="J1" s="58"/>
      <c r="K1" s="58"/>
      <c r="L1" s="54"/>
      <c r="M1" s="2"/>
      <c r="N1" s="2"/>
      <c r="O1" s="2"/>
      <c r="P1" s="2"/>
      <c r="Q1" s="93"/>
      <c r="R1" s="94"/>
      <c r="S1" s="95"/>
      <c r="T1" s="2"/>
      <c r="U1" s="3"/>
      <c r="V1" s="2"/>
      <c r="W1" s="93"/>
      <c r="X1" s="2"/>
      <c r="Y1" s="2"/>
      <c r="Z1" s="2"/>
      <c r="AA1" s="2"/>
      <c r="AB1" s="2"/>
      <c r="AC1" s="96"/>
      <c r="AD1" s="2"/>
      <c r="AE1" s="2"/>
      <c r="AF1" s="2"/>
      <c r="AG1" s="1"/>
      <c r="AH1" s="41"/>
      <c r="AI1" s="1"/>
      <c r="AJ1" s="1"/>
      <c r="AK1" s="1"/>
      <c r="AL1" s="1"/>
      <c r="AM1" s="58"/>
      <c r="AN1" s="41"/>
      <c r="AO1" s="1"/>
      <c r="AP1" s="1"/>
      <c r="AQ1" s="57"/>
      <c r="AR1" s="5"/>
      <c r="AS1" s="5"/>
      <c r="AT1" s="35"/>
      <c r="AU1" s="35"/>
      <c r="AV1" s="1"/>
      <c r="AW1" s="1"/>
      <c r="AX1" s="1"/>
      <c r="AY1" s="1"/>
      <c r="AZ1" s="9"/>
    </row>
    <row r="2" spans="1:55" ht="21.75" thickBot="1" x14ac:dyDescent="0.4">
      <c r="A2" s="53"/>
      <c r="B2" s="1"/>
      <c r="C2" s="1"/>
      <c r="D2" s="1"/>
      <c r="E2" s="1"/>
      <c r="F2" s="1"/>
      <c r="G2" s="1"/>
      <c r="H2" s="2"/>
      <c r="I2" s="2"/>
      <c r="J2" s="58"/>
      <c r="K2" s="58"/>
      <c r="L2" s="54"/>
      <c r="M2" s="2"/>
      <c r="N2" s="2"/>
      <c r="O2" s="2"/>
      <c r="P2" s="2"/>
      <c r="Q2" s="93"/>
      <c r="R2" s="94"/>
      <c r="S2" s="95"/>
      <c r="T2" s="2"/>
      <c r="U2" s="3"/>
      <c r="V2" s="2"/>
      <c r="W2" s="93"/>
      <c r="X2" s="2"/>
      <c r="Y2" s="2"/>
      <c r="Z2" s="2"/>
      <c r="AA2" s="2"/>
      <c r="AB2" s="2"/>
      <c r="AC2" s="96"/>
      <c r="AD2" s="2"/>
      <c r="AE2" s="2"/>
      <c r="AF2" s="2"/>
      <c r="AG2" s="1"/>
      <c r="AH2" s="41"/>
      <c r="AI2" s="1"/>
      <c r="AJ2" s="1"/>
      <c r="AK2" s="1"/>
      <c r="AL2" s="1"/>
      <c r="AM2" s="58"/>
      <c r="AN2" s="41"/>
      <c r="AO2" s="1"/>
      <c r="AP2" s="1"/>
      <c r="AQ2" s="57"/>
      <c r="AR2" s="5"/>
      <c r="AS2" s="5"/>
      <c r="AT2" s="345" t="s">
        <v>1187</v>
      </c>
      <c r="AU2" s="381"/>
      <c r="AV2" s="347"/>
      <c r="AW2" s="347"/>
      <c r="AX2" s="347"/>
      <c r="AY2" s="347"/>
      <c r="AZ2" s="348"/>
    </row>
    <row r="3" spans="1:55" ht="72.599999999999994" customHeight="1" thickBot="1" x14ac:dyDescent="0.3">
      <c r="A3" s="3" t="s">
        <v>1</v>
      </c>
      <c r="B3" s="3" t="s">
        <v>2</v>
      </c>
      <c r="C3" s="10" t="s">
        <v>3</v>
      </c>
      <c r="D3" s="11" t="s">
        <v>4</v>
      </c>
      <c r="E3" s="297" t="s">
        <v>5</v>
      </c>
      <c r="F3" s="11" t="s">
        <v>6</v>
      </c>
      <c r="G3" s="11" t="s">
        <v>7</v>
      </c>
      <c r="H3" s="11" t="s">
        <v>8</v>
      </c>
      <c r="I3" s="11" t="s">
        <v>9</v>
      </c>
      <c r="J3" s="11" t="s">
        <v>10</v>
      </c>
      <c r="K3" s="12" t="s">
        <v>11</v>
      </c>
      <c r="L3" s="253" t="s">
        <v>0</v>
      </c>
      <c r="M3" s="10" t="s">
        <v>1082</v>
      </c>
      <c r="N3" s="13" t="s">
        <v>1083</v>
      </c>
      <c r="O3" s="289" t="s">
        <v>1085</v>
      </c>
      <c r="P3" s="13" t="s">
        <v>1085</v>
      </c>
      <c r="Q3" s="13" t="s">
        <v>1086</v>
      </c>
      <c r="R3" s="14" t="s">
        <v>12</v>
      </c>
      <c r="S3" s="15" t="s">
        <v>13</v>
      </c>
      <c r="T3" s="240" t="s">
        <v>14</v>
      </c>
      <c r="U3" s="241" t="s">
        <v>15</v>
      </c>
      <c r="V3" s="242" t="s">
        <v>16</v>
      </c>
      <c r="W3" s="243" t="s">
        <v>17</v>
      </c>
      <c r="X3" s="242" t="s">
        <v>18</v>
      </c>
      <c r="Y3" s="242" t="s">
        <v>19</v>
      </c>
      <c r="Z3" s="241" t="s">
        <v>20</v>
      </c>
      <c r="AA3" s="241" t="s">
        <v>21</v>
      </c>
      <c r="AB3" s="244" t="s">
        <v>22</v>
      </c>
      <c r="AC3" s="245" t="s">
        <v>23</v>
      </c>
      <c r="AD3" s="241" t="s">
        <v>24</v>
      </c>
      <c r="AE3" s="242" t="s">
        <v>25</v>
      </c>
      <c r="AF3" s="241" t="s">
        <v>26</v>
      </c>
      <c r="AG3" s="242" t="s">
        <v>27</v>
      </c>
      <c r="AH3" s="246" t="s">
        <v>28</v>
      </c>
      <c r="AI3" s="240" t="s">
        <v>29</v>
      </c>
      <c r="AJ3" s="241" t="s">
        <v>30</v>
      </c>
      <c r="AK3" s="247" t="s">
        <v>31</v>
      </c>
      <c r="AL3" s="241" t="s">
        <v>32</v>
      </c>
      <c r="AM3" s="242" t="s">
        <v>33</v>
      </c>
      <c r="AN3" s="248" t="s">
        <v>34</v>
      </c>
      <c r="AO3" s="249" t="s">
        <v>35</v>
      </c>
      <c r="AP3" s="250" t="s">
        <v>36</v>
      </c>
      <c r="AQ3" s="251" t="s">
        <v>37</v>
      </c>
      <c r="AR3" s="252" t="s">
        <v>38</v>
      </c>
      <c r="AS3" s="342" t="s">
        <v>39</v>
      </c>
      <c r="AT3" s="349" t="s">
        <v>40</v>
      </c>
      <c r="AU3" s="350" t="s">
        <v>41</v>
      </c>
      <c r="AV3" s="351" t="s">
        <v>42</v>
      </c>
      <c r="AW3" s="351" t="s">
        <v>43</v>
      </c>
      <c r="AX3" s="352" t="s">
        <v>44</v>
      </c>
      <c r="AY3" s="353" t="s">
        <v>1087</v>
      </c>
      <c r="AZ3" s="354" t="s">
        <v>1088</v>
      </c>
      <c r="BA3" s="16" t="s">
        <v>1191</v>
      </c>
      <c r="BB3" s="16" t="s">
        <v>1192</v>
      </c>
    </row>
    <row r="4" spans="1:55" ht="15.75" thickBot="1" x14ac:dyDescent="0.3">
      <c r="A4" s="254" t="s">
        <v>1089</v>
      </c>
      <c r="B4" s="254" t="s">
        <v>1090</v>
      </c>
      <c r="C4" s="255" t="s">
        <v>61</v>
      </c>
      <c r="D4" s="294"/>
      <c r="E4" s="300"/>
      <c r="F4" s="295" t="s">
        <v>61</v>
      </c>
      <c r="G4" s="256"/>
      <c r="H4" s="256"/>
      <c r="I4" s="256" t="s">
        <v>57</v>
      </c>
      <c r="J4" s="257" t="s">
        <v>1091</v>
      </c>
      <c r="K4" s="258" t="s">
        <v>349</v>
      </c>
      <c r="L4" s="259">
        <v>54</v>
      </c>
      <c r="M4" s="256"/>
      <c r="N4" s="256"/>
      <c r="O4" s="290">
        <v>2</v>
      </c>
      <c r="P4" s="300"/>
      <c r="Q4" s="292">
        <v>2</v>
      </c>
      <c r="R4" s="260" t="str">
        <f>IF(G4="x",1,"")</f>
        <v/>
      </c>
      <c r="S4" s="261">
        <f t="shared" ref="S4:S35" si="0">SUM(M4:R4)</f>
        <v>4</v>
      </c>
      <c r="T4" s="262">
        <f>IF($C4="",0,VLOOKUP($C4,[4]Hoja1!$C$11:$D$27,2,FALSE)*M4)+IF($D4="",0,VLOOKUP($D4,[4]Hoja1!$C$11:$D$27,2,FALSE)*N4)+IF($F4="",0,VLOOKUP($F4,[4]Hoja1!$C$11:$D$27,2,FALSE)*O4)+IF(R4="",0,R4*0.5)</f>
        <v>1</v>
      </c>
      <c r="U4" s="256" t="s">
        <v>291</v>
      </c>
      <c r="V4" s="256"/>
      <c r="W4" s="263">
        <v>1.5</v>
      </c>
      <c r="X4" s="256"/>
      <c r="Y4" s="256"/>
      <c r="Z4" s="256"/>
      <c r="AA4" s="256"/>
      <c r="AB4" s="256"/>
      <c r="AC4" s="264">
        <v>2</v>
      </c>
      <c r="AD4" s="256">
        <v>0.75</v>
      </c>
      <c r="AE4" s="256"/>
      <c r="AF4" s="256"/>
      <c r="AG4" s="265"/>
      <c r="AH4" s="266">
        <f t="shared" ref="AH4:AH7" si="1">SUM(T4:AG4)</f>
        <v>5.25</v>
      </c>
      <c r="AI4" s="265">
        <v>40</v>
      </c>
      <c r="AJ4" s="265"/>
      <c r="AK4" s="265"/>
      <c r="AL4" s="267"/>
      <c r="AM4" s="258"/>
      <c r="AN4" s="268">
        <f t="shared" ref="AN4:AN7" si="2">SUM(AI4:AM4)</f>
        <v>40</v>
      </c>
      <c r="AO4" s="269"/>
      <c r="AP4" s="269"/>
      <c r="AQ4" s="270">
        <f t="shared" ref="AQ4:AQ69" si="3">SUM(AO4)</f>
        <v>0</v>
      </c>
      <c r="AR4" s="271">
        <f t="shared" ref="AR4:AR35" si="4">+S4+AH4+AN4+AQ4</f>
        <v>49.25</v>
      </c>
      <c r="AS4" s="397">
        <f t="shared" ref="AS4:AS35" si="5">+L4-AR4</f>
        <v>4.75</v>
      </c>
      <c r="AT4" s="398">
        <v>40</v>
      </c>
      <c r="AU4" s="400">
        <f t="shared" ref="AU4:AU35" si="6">+(S4+AB4)*40/60</f>
        <v>2.6666666666666665</v>
      </c>
      <c r="AV4" s="399">
        <f t="shared" ref="AV4:AV35" si="7">+AN4*40/60</f>
        <v>26.666666666666668</v>
      </c>
      <c r="AW4" s="400">
        <f t="shared" ref="AW4:AW35" si="8">+AQ4*0.666666666666667</f>
        <v>0</v>
      </c>
      <c r="AX4" s="400">
        <f>+AT4-AU4-AV4-AW4</f>
        <v>10.666666666666668</v>
      </c>
      <c r="AY4" s="402" t="s">
        <v>1092</v>
      </c>
      <c r="AZ4" s="401"/>
      <c r="BA4" s="287">
        <v>2980398</v>
      </c>
      <c r="BB4" s="287">
        <f>+BA4/L4</f>
        <v>55192.555555555555</v>
      </c>
    </row>
    <row r="5" spans="1:55" ht="15.75" thickBot="1" x14ac:dyDescent="0.3">
      <c r="A5" s="77" t="s">
        <v>536</v>
      </c>
      <c r="B5" s="77" t="s">
        <v>537</v>
      </c>
      <c r="C5" s="97" t="s">
        <v>64</v>
      </c>
      <c r="D5" s="281"/>
      <c r="E5" s="278"/>
      <c r="F5" s="296"/>
      <c r="G5" s="19" t="s">
        <v>57</v>
      </c>
      <c r="H5" s="19"/>
      <c r="I5" s="20"/>
      <c r="J5" s="45"/>
      <c r="K5" s="29" t="s">
        <v>303</v>
      </c>
      <c r="L5" s="98">
        <v>54</v>
      </c>
      <c r="M5" s="19">
        <v>20</v>
      </c>
      <c r="N5" s="19"/>
      <c r="O5" s="291"/>
      <c r="P5" s="278"/>
      <c r="Q5" s="293"/>
      <c r="R5" s="99">
        <v>1.25</v>
      </c>
      <c r="S5" s="100">
        <f t="shared" si="0"/>
        <v>21.25</v>
      </c>
      <c r="T5" s="101">
        <f>IF($C5="",0,VLOOKUP($C5,[4]Hoja1!$C$11:$D$27,2,FALSE)*M5)+IF($D5="",0,VLOOKUP($D5,[4]Hoja1!$C$11:$D$27,2,FALSE)*N5)+IF($F5="",0,VLOOKUP($F5,[4]Hoja1!$C$11:$D$27,2,FALSE)*O5)+IF(R5="",0,R5*0.5)</f>
        <v>10.625</v>
      </c>
      <c r="U5" s="19">
        <v>5</v>
      </c>
      <c r="V5" s="19"/>
      <c r="W5" s="102">
        <v>1.5</v>
      </c>
      <c r="X5" s="19"/>
      <c r="Y5" s="19"/>
      <c r="Z5" s="19"/>
      <c r="AA5" s="19"/>
      <c r="AB5" s="19"/>
      <c r="AC5" s="103">
        <v>2</v>
      </c>
      <c r="AD5" s="103">
        <v>0.75</v>
      </c>
      <c r="AE5" s="19"/>
      <c r="AF5" s="104">
        <f>M5*0.5+0.5</f>
        <v>10.5</v>
      </c>
      <c r="AG5" s="29" t="s">
        <v>538</v>
      </c>
      <c r="AH5" s="105">
        <f t="shared" si="1"/>
        <v>30.375</v>
      </c>
      <c r="AI5" s="38"/>
      <c r="AJ5" s="22"/>
      <c r="AK5" s="22"/>
      <c r="AL5" s="104"/>
      <c r="AM5" s="29"/>
      <c r="AN5" s="106">
        <f t="shared" si="2"/>
        <v>0</v>
      </c>
      <c r="AO5" s="39"/>
      <c r="AP5" s="39"/>
      <c r="AQ5" s="107">
        <f t="shared" si="3"/>
        <v>0</v>
      </c>
      <c r="AR5" s="34">
        <f t="shared" si="4"/>
        <v>51.625</v>
      </c>
      <c r="AS5" s="396">
        <f t="shared" si="5"/>
        <v>2.375</v>
      </c>
      <c r="AT5" s="355">
        <v>40.333333333333336</v>
      </c>
      <c r="AU5" s="356">
        <f t="shared" si="6"/>
        <v>14.166666666666666</v>
      </c>
      <c r="AV5" s="386">
        <f t="shared" si="7"/>
        <v>0</v>
      </c>
      <c r="AW5" s="358">
        <f t="shared" si="8"/>
        <v>0</v>
      </c>
      <c r="AX5" s="356">
        <f t="shared" ref="AX5:AX68" si="9">+AT5-AU5-AV5-AW5</f>
        <v>26.166666666666671</v>
      </c>
      <c r="AY5" s="359">
        <f t="shared" ref="AY5:AY68" si="10">+AU5/(AU5+AX5)</f>
        <v>0.35123966942148754</v>
      </c>
      <c r="AZ5" s="360">
        <f t="shared" ref="AZ5:AZ68" si="11">+AX5/(AU5+AX5)</f>
        <v>0.64876033057851246</v>
      </c>
      <c r="BA5" s="287">
        <v>3130565</v>
      </c>
      <c r="BB5" s="287">
        <f t="shared" ref="BB5:BB68" si="12">+BA5/L5</f>
        <v>57973.425925925927</v>
      </c>
      <c r="BC5" s="9"/>
    </row>
    <row r="6" spans="1:55" ht="15.75" thickBot="1" x14ac:dyDescent="0.3">
      <c r="A6" s="77" t="s">
        <v>539</v>
      </c>
      <c r="B6" s="77" t="s">
        <v>540</v>
      </c>
      <c r="C6" s="97" t="s">
        <v>64</v>
      </c>
      <c r="D6" s="280" t="s">
        <v>56</v>
      </c>
      <c r="E6" s="278"/>
      <c r="F6" s="296"/>
      <c r="G6" s="19" t="s">
        <v>57</v>
      </c>
      <c r="H6" s="19" t="s">
        <v>57</v>
      </c>
      <c r="I6" s="20" t="s">
        <v>57</v>
      </c>
      <c r="J6" s="45" t="s">
        <v>205</v>
      </c>
      <c r="K6" s="29" t="s">
        <v>303</v>
      </c>
      <c r="L6" s="98">
        <v>54</v>
      </c>
      <c r="M6" s="19">
        <v>10</v>
      </c>
      <c r="N6" s="19">
        <v>6</v>
      </c>
      <c r="O6" s="291"/>
      <c r="P6" s="278"/>
      <c r="Q6" s="293"/>
      <c r="R6" s="99">
        <v>3.25</v>
      </c>
      <c r="S6" s="100">
        <f t="shared" si="0"/>
        <v>19.25</v>
      </c>
      <c r="T6" s="101">
        <f>IF($C6="",0,VLOOKUP($C6,[4]Hoja1!$C$11:$D$27,2,FALSE)*M6)+IF($D6="",0,VLOOKUP($D6,[4]Hoja1!$C$11:$D$27,2,FALSE)*N6)+IF($F6="",0,VLOOKUP($F6,[4]Hoja1!$C$11:$D$27,2,FALSE)*O6)+IF(R6="",0,R6*0.5)</f>
        <v>9.625</v>
      </c>
      <c r="U6" s="19">
        <v>5</v>
      </c>
      <c r="V6" s="19"/>
      <c r="W6" s="102">
        <v>1.5</v>
      </c>
      <c r="X6" s="19">
        <v>3</v>
      </c>
      <c r="Y6" s="19"/>
      <c r="Z6" s="19"/>
      <c r="AA6" s="19"/>
      <c r="AB6" s="19">
        <v>3</v>
      </c>
      <c r="AC6" s="103">
        <v>1</v>
      </c>
      <c r="AD6" s="103">
        <v>1</v>
      </c>
      <c r="AE6" s="19"/>
      <c r="AF6" s="104">
        <f>M6*0.5+0.5</f>
        <v>5.5</v>
      </c>
      <c r="AG6" s="29" t="s">
        <v>538</v>
      </c>
      <c r="AH6" s="105">
        <f t="shared" si="1"/>
        <v>29.625</v>
      </c>
      <c r="AI6" s="38">
        <v>15</v>
      </c>
      <c r="AJ6" s="22">
        <v>4</v>
      </c>
      <c r="AK6" s="22"/>
      <c r="AL6" s="104"/>
      <c r="AM6" s="29"/>
      <c r="AN6" s="106">
        <f t="shared" si="2"/>
        <v>19</v>
      </c>
      <c r="AO6" s="39"/>
      <c r="AP6" s="39"/>
      <c r="AQ6" s="107">
        <f t="shared" si="3"/>
        <v>0</v>
      </c>
      <c r="AR6" s="34">
        <f t="shared" si="4"/>
        <v>67.875</v>
      </c>
      <c r="AS6" s="396">
        <f t="shared" si="5"/>
        <v>-13.875</v>
      </c>
      <c r="AT6" s="355">
        <v>40.333333333333336</v>
      </c>
      <c r="AU6" s="356">
        <f t="shared" si="6"/>
        <v>14.833333333333334</v>
      </c>
      <c r="AV6" s="386">
        <f t="shared" si="7"/>
        <v>12.666666666666666</v>
      </c>
      <c r="AW6" s="358">
        <f t="shared" si="8"/>
        <v>0</v>
      </c>
      <c r="AX6" s="356">
        <f t="shared" si="9"/>
        <v>12.833333333333334</v>
      </c>
      <c r="AY6" s="359">
        <f t="shared" si="10"/>
        <v>0.53614457831325302</v>
      </c>
      <c r="AZ6" s="360">
        <f t="shared" si="11"/>
        <v>0.46385542168674698</v>
      </c>
      <c r="BA6" s="287">
        <v>2257655</v>
      </c>
      <c r="BB6" s="287">
        <f t="shared" si="12"/>
        <v>41808.425925925927</v>
      </c>
      <c r="BC6" s="9"/>
    </row>
    <row r="7" spans="1:55" ht="15.75" thickBot="1" x14ac:dyDescent="0.3">
      <c r="A7" s="77" t="s">
        <v>1093</v>
      </c>
      <c r="B7" s="77" t="s">
        <v>1094</v>
      </c>
      <c r="C7" s="97" t="s">
        <v>126</v>
      </c>
      <c r="D7" s="281"/>
      <c r="E7" s="278"/>
      <c r="F7" s="296"/>
      <c r="G7" s="19"/>
      <c r="H7" s="19"/>
      <c r="I7" s="20"/>
      <c r="J7" s="45"/>
      <c r="K7" s="29" t="s">
        <v>429</v>
      </c>
      <c r="L7" s="98">
        <v>27</v>
      </c>
      <c r="M7" s="19">
        <v>12</v>
      </c>
      <c r="N7" s="19"/>
      <c r="O7" s="291"/>
      <c r="P7" s="278"/>
      <c r="Q7" s="293"/>
      <c r="R7" s="99" t="str">
        <f>IF(G7="x",1,"")</f>
        <v/>
      </c>
      <c r="S7" s="100">
        <f t="shared" si="0"/>
        <v>12</v>
      </c>
      <c r="T7" s="101">
        <f>IF($C7="",0,VLOOKUP($C7,[4]Hoja1!$C$11:$D$27,2,FALSE)*M7)+IF($D7="",0,VLOOKUP($D7,[4]Hoja1!$C$11:$D$27,2,FALSE)*N7)+IF($F7="",0,VLOOKUP($F7,[4]Hoja1!$C$11:$D$27,2,FALSE)*O7)+IF(R7="",0,R7*0.5)</f>
        <v>3.5999999999999996</v>
      </c>
      <c r="U7" s="19" t="s">
        <v>291</v>
      </c>
      <c r="V7" s="19"/>
      <c r="W7" s="102"/>
      <c r="X7" s="19"/>
      <c r="Y7" s="19">
        <v>6</v>
      </c>
      <c r="Z7" s="19"/>
      <c r="AA7" s="19"/>
      <c r="AB7" s="19">
        <v>1</v>
      </c>
      <c r="AC7" s="103"/>
      <c r="AD7" s="103"/>
      <c r="AE7" s="19"/>
      <c r="AF7" s="104">
        <v>0.5</v>
      </c>
      <c r="AG7" s="29" t="s">
        <v>577</v>
      </c>
      <c r="AH7" s="105">
        <f t="shared" si="1"/>
        <v>11.1</v>
      </c>
      <c r="AI7" s="38"/>
      <c r="AJ7" s="22"/>
      <c r="AK7" s="22"/>
      <c r="AL7" s="104"/>
      <c r="AM7" s="29"/>
      <c r="AN7" s="106">
        <f t="shared" si="2"/>
        <v>0</v>
      </c>
      <c r="AO7" s="39"/>
      <c r="AP7" s="39"/>
      <c r="AQ7" s="107">
        <f t="shared" si="3"/>
        <v>0</v>
      </c>
      <c r="AR7" s="34">
        <f t="shared" si="4"/>
        <v>23.1</v>
      </c>
      <c r="AS7" s="396">
        <f t="shared" si="5"/>
        <v>3.8999999999999986</v>
      </c>
      <c r="AT7" s="355">
        <v>20.2</v>
      </c>
      <c r="AU7" s="356">
        <f t="shared" si="6"/>
        <v>8.6666666666666661</v>
      </c>
      <c r="AV7" s="386">
        <f t="shared" si="7"/>
        <v>0</v>
      </c>
      <c r="AW7" s="358">
        <f t="shared" si="8"/>
        <v>0</v>
      </c>
      <c r="AX7" s="356">
        <f t="shared" si="9"/>
        <v>11.533333333333333</v>
      </c>
      <c r="AY7" s="387">
        <f t="shared" si="10"/>
        <v>0.42904290429042902</v>
      </c>
      <c r="AZ7" s="388">
        <f t="shared" si="11"/>
        <v>0.57095709570957098</v>
      </c>
      <c r="BA7" s="287">
        <v>1000000</v>
      </c>
      <c r="BB7" s="287">
        <f t="shared" si="12"/>
        <v>37037.037037037036</v>
      </c>
      <c r="BC7" s="9"/>
    </row>
    <row r="8" spans="1:55" ht="15.75" thickBot="1" x14ac:dyDescent="0.3">
      <c r="A8" s="77" t="s">
        <v>1095</v>
      </c>
      <c r="B8" s="77" t="s">
        <v>1096</v>
      </c>
      <c r="C8" s="97" t="s">
        <v>126</v>
      </c>
      <c r="D8" s="281"/>
      <c r="E8" s="278"/>
      <c r="F8" s="275" t="s">
        <v>126</v>
      </c>
      <c r="G8" s="19"/>
      <c r="H8" s="19"/>
      <c r="I8" s="20"/>
      <c r="J8" s="45"/>
      <c r="K8" s="29" t="s">
        <v>309</v>
      </c>
      <c r="L8" s="98">
        <v>54</v>
      </c>
      <c r="M8" s="19">
        <v>19</v>
      </c>
      <c r="N8" s="19"/>
      <c r="O8" s="291">
        <v>2</v>
      </c>
      <c r="P8" s="278"/>
      <c r="Q8" s="293"/>
      <c r="R8" s="99" t="str">
        <f>IF(G8="x",1,"")</f>
        <v/>
      </c>
      <c r="S8" s="100">
        <f t="shared" si="0"/>
        <v>21</v>
      </c>
      <c r="T8" s="101">
        <f>IF($C8="",0,VLOOKUP($C8,[4]Hoja1!$C$11:$D$27,2,FALSE)*M8)+IF($D8="",0,VLOOKUP($D8,[4]Hoja1!$C$11:$D$27,2,FALSE)*N8)+IF($F8="",0,VLOOKUP($F8,[4]Hoja1!$C$11:$D$27,2,FALSE)*O8)+IF(R8="",0,R8*0.5)</f>
        <v>6.3</v>
      </c>
      <c r="U8" s="19" t="s">
        <v>291</v>
      </c>
      <c r="V8" s="19"/>
      <c r="W8" s="102"/>
      <c r="X8" s="19"/>
      <c r="Y8" s="19">
        <v>6</v>
      </c>
      <c r="Z8" s="19"/>
      <c r="AA8" s="19"/>
      <c r="AB8" s="19">
        <v>1</v>
      </c>
      <c r="AC8" s="103"/>
      <c r="AD8" s="103">
        <v>1</v>
      </c>
      <c r="AE8" s="19"/>
      <c r="AF8" s="104">
        <v>0.5</v>
      </c>
      <c r="AG8" s="29" t="s">
        <v>577</v>
      </c>
      <c r="AH8" s="105">
        <f t="shared" ref="AH8:AH50" si="13">SUM(T8:AF8)</f>
        <v>14.8</v>
      </c>
      <c r="AI8" s="38"/>
      <c r="AJ8" s="22"/>
      <c r="AK8" s="22"/>
      <c r="AL8" s="104"/>
      <c r="AM8" s="29"/>
      <c r="AN8" s="106">
        <f t="shared" ref="AN8:AN9" si="14">SUM(AI8:AL8)</f>
        <v>0</v>
      </c>
      <c r="AO8" s="39"/>
      <c r="AP8" s="39"/>
      <c r="AQ8" s="107">
        <f t="shared" si="3"/>
        <v>0</v>
      </c>
      <c r="AR8" s="34">
        <f t="shared" si="4"/>
        <v>35.799999999999997</v>
      </c>
      <c r="AS8" s="396">
        <f t="shared" si="5"/>
        <v>18.200000000000003</v>
      </c>
      <c r="AT8" s="355">
        <v>40.4</v>
      </c>
      <c r="AU8" s="356">
        <f t="shared" si="6"/>
        <v>14.666666666666666</v>
      </c>
      <c r="AV8" s="386">
        <f t="shared" si="7"/>
        <v>0</v>
      </c>
      <c r="AW8" s="358">
        <f t="shared" si="8"/>
        <v>0</v>
      </c>
      <c r="AX8" s="356">
        <f t="shared" si="9"/>
        <v>25.733333333333334</v>
      </c>
      <c r="AY8" s="387">
        <f t="shared" si="10"/>
        <v>0.36303630363036304</v>
      </c>
      <c r="AZ8" s="388">
        <f t="shared" si="11"/>
        <v>0.63696369636963701</v>
      </c>
      <c r="BA8" s="287">
        <v>2867758</v>
      </c>
      <c r="BB8" s="287">
        <f t="shared" si="12"/>
        <v>53106.629629629628</v>
      </c>
      <c r="BC8" s="9"/>
    </row>
    <row r="9" spans="1:55" ht="15.75" thickBot="1" x14ac:dyDescent="0.3">
      <c r="A9" s="77" t="s">
        <v>1097</v>
      </c>
      <c r="B9" s="108" t="s">
        <v>1098</v>
      </c>
      <c r="C9" s="97" t="s">
        <v>74</v>
      </c>
      <c r="D9" s="280" t="s">
        <v>56</v>
      </c>
      <c r="E9" s="278"/>
      <c r="F9" s="275" t="s">
        <v>74</v>
      </c>
      <c r="G9" s="19"/>
      <c r="H9" s="19"/>
      <c r="I9" s="20"/>
      <c r="J9" s="45" t="s">
        <v>205</v>
      </c>
      <c r="K9" s="29" t="s">
        <v>318</v>
      </c>
      <c r="L9" s="98">
        <v>44</v>
      </c>
      <c r="M9" s="19">
        <v>4</v>
      </c>
      <c r="N9" s="19">
        <v>6</v>
      </c>
      <c r="O9" s="291">
        <v>4</v>
      </c>
      <c r="P9" s="278"/>
      <c r="Q9" s="293"/>
      <c r="R9" s="99">
        <v>4</v>
      </c>
      <c r="S9" s="100">
        <f t="shared" si="0"/>
        <v>18</v>
      </c>
      <c r="T9" s="101">
        <f>IF($C9="",0,VLOOKUP($C9,[4]Hoja1!$C$11:$D$27,2,FALSE)*M9)+IF($D9="",0,VLOOKUP($D9,[4]Hoja1!$C$11:$D$27,2,FALSE)*N9)+IF($F9="",0,VLOOKUP($F9,[4]Hoja1!$C$11:$D$27,2,FALSE)*O9)+IF(R9="",0,R9*0.5)</f>
        <v>9</v>
      </c>
      <c r="U9" s="19" t="s">
        <v>291</v>
      </c>
      <c r="V9" s="19"/>
      <c r="W9" s="102">
        <v>1.5</v>
      </c>
      <c r="X9" s="19"/>
      <c r="Y9" s="19"/>
      <c r="Z9" s="19"/>
      <c r="AA9" s="19"/>
      <c r="AB9" s="19"/>
      <c r="AC9" s="103"/>
      <c r="AD9" s="103">
        <v>2</v>
      </c>
      <c r="AE9" s="19"/>
      <c r="AF9" s="104"/>
      <c r="AG9" s="29"/>
      <c r="AH9" s="105">
        <f t="shared" si="13"/>
        <v>12.5</v>
      </c>
      <c r="AI9" s="38"/>
      <c r="AJ9" s="22"/>
      <c r="AK9" s="22"/>
      <c r="AL9" s="104"/>
      <c r="AM9" s="29"/>
      <c r="AN9" s="106">
        <f t="shared" si="14"/>
        <v>0</v>
      </c>
      <c r="AO9" s="39"/>
      <c r="AP9" s="39"/>
      <c r="AQ9" s="107">
        <f t="shared" si="3"/>
        <v>0</v>
      </c>
      <c r="AR9" s="34">
        <f t="shared" si="4"/>
        <v>30.5</v>
      </c>
      <c r="AS9" s="396">
        <f t="shared" si="5"/>
        <v>13.5</v>
      </c>
      <c r="AT9" s="355">
        <v>33.299999999999997</v>
      </c>
      <c r="AU9" s="356">
        <f t="shared" si="6"/>
        <v>12</v>
      </c>
      <c r="AV9" s="386">
        <f t="shared" si="7"/>
        <v>0</v>
      </c>
      <c r="AW9" s="358">
        <f t="shared" si="8"/>
        <v>0</v>
      </c>
      <c r="AX9" s="356">
        <f t="shared" si="9"/>
        <v>21.299999999999997</v>
      </c>
      <c r="AY9" s="387">
        <f t="shared" si="10"/>
        <v>0.3603603603603604</v>
      </c>
      <c r="AZ9" s="388">
        <f t="shared" si="11"/>
        <v>0.63963963963963966</v>
      </c>
      <c r="BA9" s="287">
        <v>1350000</v>
      </c>
      <c r="BB9" s="287">
        <f t="shared" si="12"/>
        <v>30681.81818181818</v>
      </c>
      <c r="BC9" s="9"/>
    </row>
    <row r="10" spans="1:55" ht="15.75" thickBot="1" x14ac:dyDescent="0.3">
      <c r="A10" s="77" t="s">
        <v>541</v>
      </c>
      <c r="B10" s="77" t="s">
        <v>542</v>
      </c>
      <c r="C10" s="97" t="s">
        <v>114</v>
      </c>
      <c r="D10" s="281"/>
      <c r="E10" s="278"/>
      <c r="F10" s="296"/>
      <c r="G10" s="19" t="s">
        <v>57</v>
      </c>
      <c r="H10" s="19"/>
      <c r="I10" s="20"/>
      <c r="J10" s="45"/>
      <c r="K10" s="29" t="s">
        <v>303</v>
      </c>
      <c r="L10" s="98">
        <v>54</v>
      </c>
      <c r="M10" s="19">
        <v>21</v>
      </c>
      <c r="N10" s="19"/>
      <c r="O10" s="291"/>
      <c r="P10" s="278"/>
      <c r="Q10" s="293">
        <v>2</v>
      </c>
      <c r="R10" s="99">
        <v>1.25</v>
      </c>
      <c r="S10" s="100">
        <f t="shared" si="0"/>
        <v>24.25</v>
      </c>
      <c r="T10" s="101">
        <f>IF($C10="",0,VLOOKUP($C10,[4]Hoja1!$C$11:$D$27,2,FALSE)*M10)+IF($D10="",0,VLOOKUP($D10,[4]Hoja1!$C$11:$D$27,2,FALSE)*N10)+IF($F10="",0,VLOOKUP($F10,[4]Hoja1!$C$11:$D$27,2,FALSE)*O10)+IF(R10="",0,R10*0.5)</f>
        <v>11.125</v>
      </c>
      <c r="U10" s="19">
        <v>5</v>
      </c>
      <c r="V10" s="19"/>
      <c r="W10" s="102">
        <v>1.5</v>
      </c>
      <c r="X10" s="102">
        <v>1.5</v>
      </c>
      <c r="Y10" s="19"/>
      <c r="Z10" s="19"/>
      <c r="AA10" s="19"/>
      <c r="AB10" s="19"/>
      <c r="AC10" s="103">
        <v>1</v>
      </c>
      <c r="AD10" s="103">
        <v>1.75</v>
      </c>
      <c r="AE10" s="19"/>
      <c r="AF10" s="104">
        <f>M10*0.5+1.5</f>
        <v>12</v>
      </c>
      <c r="AG10" s="29" t="s">
        <v>543</v>
      </c>
      <c r="AH10" s="105">
        <f t="shared" si="13"/>
        <v>33.875</v>
      </c>
      <c r="AI10" s="38"/>
      <c r="AJ10" s="22"/>
      <c r="AK10" s="22"/>
      <c r="AL10" s="104"/>
      <c r="AM10" s="29"/>
      <c r="AN10" s="106">
        <f>SUM(AI10:AM10)</f>
        <v>0</v>
      </c>
      <c r="AO10" s="39"/>
      <c r="AP10" s="39"/>
      <c r="AQ10" s="107">
        <f t="shared" si="3"/>
        <v>0</v>
      </c>
      <c r="AR10" s="34">
        <f t="shared" si="4"/>
        <v>58.125</v>
      </c>
      <c r="AS10" s="396">
        <f t="shared" si="5"/>
        <v>-4.125</v>
      </c>
      <c r="AT10" s="355">
        <v>40.383333333333333</v>
      </c>
      <c r="AU10" s="356">
        <f t="shared" si="6"/>
        <v>16.166666666666668</v>
      </c>
      <c r="AV10" s="386">
        <f t="shared" si="7"/>
        <v>0</v>
      </c>
      <c r="AW10" s="358">
        <f t="shared" si="8"/>
        <v>0</v>
      </c>
      <c r="AX10" s="356">
        <f t="shared" si="9"/>
        <v>24.216666666666665</v>
      </c>
      <c r="AY10" s="359">
        <f t="shared" si="10"/>
        <v>0.40033016921172104</v>
      </c>
      <c r="AZ10" s="360">
        <f t="shared" si="11"/>
        <v>0.59966983078827896</v>
      </c>
      <c r="BA10" s="287">
        <v>1525000</v>
      </c>
      <c r="BB10" s="287">
        <f t="shared" si="12"/>
        <v>28240.740740740741</v>
      </c>
      <c r="BC10" s="9"/>
    </row>
    <row r="11" spans="1:55" ht="15.75" thickBot="1" x14ac:dyDescent="0.3">
      <c r="A11" s="77" t="s">
        <v>1099</v>
      </c>
      <c r="B11" s="77" t="s">
        <v>1100</v>
      </c>
      <c r="C11" s="97" t="s">
        <v>126</v>
      </c>
      <c r="D11" s="281"/>
      <c r="E11" s="278"/>
      <c r="F11" s="275" t="s">
        <v>126</v>
      </c>
      <c r="G11" s="19"/>
      <c r="H11" s="19"/>
      <c r="I11" s="20"/>
      <c r="J11" s="45"/>
      <c r="K11" s="29" t="s">
        <v>309</v>
      </c>
      <c r="L11" s="98">
        <v>54</v>
      </c>
      <c r="M11" s="19">
        <v>18</v>
      </c>
      <c r="N11" s="19"/>
      <c r="O11" s="291">
        <v>2</v>
      </c>
      <c r="P11" s="278"/>
      <c r="Q11" s="293"/>
      <c r="R11" s="99" t="str">
        <f>IF(G11="x",1,"")</f>
        <v/>
      </c>
      <c r="S11" s="100">
        <f t="shared" si="0"/>
        <v>20</v>
      </c>
      <c r="T11" s="101">
        <f>IF($C11="",0,VLOOKUP($C11,[4]Hoja1!$C$11:$D$27,2,FALSE)*M11)+IF($D11="",0,VLOOKUP($D11,[4]Hoja1!$C$11:$D$27,2,FALSE)*N11)+IF($F11="",0,VLOOKUP($F11,[4]Hoja1!$C$11:$D$27,2,FALSE)*O11)+IF(R11="",0,R11*0.5)</f>
        <v>5.9999999999999991</v>
      </c>
      <c r="U11" s="19" t="s">
        <v>291</v>
      </c>
      <c r="V11" s="19"/>
      <c r="W11" s="102"/>
      <c r="X11" s="19"/>
      <c r="Y11" s="19">
        <v>8</v>
      </c>
      <c r="Z11" s="19"/>
      <c r="AA11" s="19"/>
      <c r="AB11" s="19">
        <v>1</v>
      </c>
      <c r="AC11" s="103"/>
      <c r="AD11" s="103">
        <v>1</v>
      </c>
      <c r="AE11" s="19"/>
      <c r="AF11" s="104">
        <v>0.5</v>
      </c>
      <c r="AG11" s="29" t="s">
        <v>577</v>
      </c>
      <c r="AH11" s="105">
        <f t="shared" si="13"/>
        <v>16.5</v>
      </c>
      <c r="AI11" s="38"/>
      <c r="AJ11" s="22"/>
      <c r="AK11" s="22"/>
      <c r="AL11" s="104"/>
      <c r="AM11" s="29"/>
      <c r="AN11" s="106">
        <f t="shared" ref="AN11:AN14" si="15">SUM(AI11:AL11)</f>
        <v>0</v>
      </c>
      <c r="AO11" s="39"/>
      <c r="AP11" s="39"/>
      <c r="AQ11" s="107">
        <f t="shared" si="3"/>
        <v>0</v>
      </c>
      <c r="AR11" s="34">
        <f t="shared" si="4"/>
        <v>36.5</v>
      </c>
      <c r="AS11" s="396">
        <f t="shared" si="5"/>
        <v>17.5</v>
      </c>
      <c r="AT11" s="355">
        <v>40.383333333333333</v>
      </c>
      <c r="AU11" s="356">
        <f t="shared" si="6"/>
        <v>14</v>
      </c>
      <c r="AV11" s="386">
        <f t="shared" si="7"/>
        <v>0</v>
      </c>
      <c r="AW11" s="358">
        <f t="shared" si="8"/>
        <v>0</v>
      </c>
      <c r="AX11" s="356">
        <f t="shared" si="9"/>
        <v>26.383333333333333</v>
      </c>
      <c r="AY11" s="387">
        <f t="shared" si="10"/>
        <v>0.34667767230705737</v>
      </c>
      <c r="AZ11" s="388">
        <f t="shared" si="11"/>
        <v>0.65332232769294263</v>
      </c>
      <c r="BA11" s="287">
        <v>2470295</v>
      </c>
      <c r="BB11" s="287">
        <f t="shared" si="12"/>
        <v>45746.203703703701</v>
      </c>
      <c r="BC11" s="9"/>
    </row>
    <row r="12" spans="1:55" ht="15.75" thickBot="1" x14ac:dyDescent="0.3">
      <c r="A12" s="77" t="s">
        <v>544</v>
      </c>
      <c r="B12" s="77" t="s">
        <v>545</v>
      </c>
      <c r="C12" s="97" t="s">
        <v>55</v>
      </c>
      <c r="D12" s="281"/>
      <c r="E12" s="278"/>
      <c r="F12" s="296"/>
      <c r="G12" s="19" t="s">
        <v>57</v>
      </c>
      <c r="H12" s="19"/>
      <c r="I12" s="20" t="s">
        <v>57</v>
      </c>
      <c r="J12" s="45" t="s">
        <v>155</v>
      </c>
      <c r="K12" s="29" t="s">
        <v>290</v>
      </c>
      <c r="L12" s="98">
        <v>54</v>
      </c>
      <c r="M12" s="19">
        <v>13</v>
      </c>
      <c r="N12" s="19"/>
      <c r="O12" s="291"/>
      <c r="P12" s="278"/>
      <c r="Q12" s="293"/>
      <c r="R12" s="99">
        <v>1.25</v>
      </c>
      <c r="S12" s="100">
        <f t="shared" si="0"/>
        <v>14.25</v>
      </c>
      <c r="T12" s="101">
        <f>IF($C12="",0,VLOOKUP($C12,[4]Hoja1!$C$11:$D$27,2,FALSE)*M12)+IF($D12="",0,VLOOKUP($D12,[4]Hoja1!$C$11:$D$27,2,FALSE)*N12)+IF($F12="",0,VLOOKUP($F12,[4]Hoja1!$C$11:$D$27,2,FALSE)*O12)+IF(R12="",0,R12*0.5)</f>
        <v>8.4250000000000007</v>
      </c>
      <c r="U12" s="19">
        <v>8</v>
      </c>
      <c r="V12" s="19">
        <v>5</v>
      </c>
      <c r="W12" s="102">
        <v>1.5</v>
      </c>
      <c r="X12" s="19"/>
      <c r="Y12" s="19"/>
      <c r="Z12" s="19"/>
      <c r="AA12" s="19"/>
      <c r="AB12" s="19">
        <v>3</v>
      </c>
      <c r="AC12" s="103"/>
      <c r="AD12" s="103"/>
      <c r="AE12" s="19">
        <v>1</v>
      </c>
      <c r="AF12" s="104"/>
      <c r="AG12" s="29"/>
      <c r="AH12" s="105">
        <f t="shared" si="13"/>
        <v>26.925000000000001</v>
      </c>
      <c r="AI12" s="38">
        <v>11</v>
      </c>
      <c r="AJ12" s="22"/>
      <c r="AK12" s="22"/>
      <c r="AL12" s="104"/>
      <c r="AM12" s="29"/>
      <c r="AN12" s="106">
        <f t="shared" si="15"/>
        <v>11</v>
      </c>
      <c r="AO12" s="39"/>
      <c r="AP12" s="39"/>
      <c r="AQ12" s="107">
        <f t="shared" si="3"/>
        <v>0</v>
      </c>
      <c r="AR12" s="34">
        <f t="shared" si="4"/>
        <v>52.174999999999997</v>
      </c>
      <c r="AS12" s="396">
        <f t="shared" si="5"/>
        <v>1.8250000000000028</v>
      </c>
      <c r="AT12" s="355">
        <v>40.25</v>
      </c>
      <c r="AU12" s="356">
        <f t="shared" si="6"/>
        <v>11.5</v>
      </c>
      <c r="AV12" s="386">
        <f t="shared" si="7"/>
        <v>7.333333333333333</v>
      </c>
      <c r="AW12" s="358">
        <f t="shared" si="8"/>
        <v>0</v>
      </c>
      <c r="AX12" s="356">
        <f t="shared" si="9"/>
        <v>21.416666666666668</v>
      </c>
      <c r="AY12" s="359">
        <f t="shared" si="10"/>
        <v>0.34936708860759491</v>
      </c>
      <c r="AZ12" s="360">
        <f t="shared" si="11"/>
        <v>0.65063291139240498</v>
      </c>
      <c r="BA12" s="287">
        <v>2905839</v>
      </c>
      <c r="BB12" s="287">
        <f t="shared" si="12"/>
        <v>53811.833333333336</v>
      </c>
      <c r="BC12" s="9"/>
    </row>
    <row r="13" spans="1:55" ht="15.75" thickBot="1" x14ac:dyDescent="0.3">
      <c r="A13" s="77" t="s">
        <v>1101</v>
      </c>
      <c r="B13" s="77" t="s">
        <v>1102</v>
      </c>
      <c r="C13" s="97" t="s">
        <v>54</v>
      </c>
      <c r="D13" s="281"/>
      <c r="E13" s="278"/>
      <c r="F13" s="275" t="s">
        <v>54</v>
      </c>
      <c r="G13" s="19"/>
      <c r="H13" s="19"/>
      <c r="I13" s="20"/>
      <c r="J13" s="45"/>
      <c r="K13" s="29" t="s">
        <v>349</v>
      </c>
      <c r="L13" s="98">
        <v>33</v>
      </c>
      <c r="M13" s="19">
        <v>8</v>
      </c>
      <c r="N13" s="19"/>
      <c r="O13" s="291">
        <v>4</v>
      </c>
      <c r="P13" s="278"/>
      <c r="Q13" s="293"/>
      <c r="R13" s="99" t="str">
        <f>IF(G13="x",1,"")</f>
        <v/>
      </c>
      <c r="S13" s="100">
        <f t="shared" si="0"/>
        <v>12</v>
      </c>
      <c r="T13" s="101">
        <f>IF($C13="",0,VLOOKUP($C13,[4]Hoja1!$C$11:$D$27,2,FALSE)*M13)+IF($D13="",0,VLOOKUP($D13,[4]Hoja1!$C$11:$D$27,2,FALSE)*N13)+IF($F13="",0,VLOOKUP($F13,[4]Hoja1!$C$11:$D$27,2,FALSE)*O13)+IF(R13="",0,R13*0.5)</f>
        <v>6</v>
      </c>
      <c r="U13" s="19" t="s">
        <v>291</v>
      </c>
      <c r="V13" s="19"/>
      <c r="W13" s="102">
        <v>1.5</v>
      </c>
      <c r="X13" s="19"/>
      <c r="Y13" s="19"/>
      <c r="Z13" s="19"/>
      <c r="AA13" s="19"/>
      <c r="AB13" s="19">
        <v>2</v>
      </c>
      <c r="AC13" s="103">
        <v>1</v>
      </c>
      <c r="AD13" s="103">
        <v>1</v>
      </c>
      <c r="AE13" s="19"/>
      <c r="AF13" s="104">
        <v>0.5</v>
      </c>
      <c r="AG13" s="29" t="s">
        <v>577</v>
      </c>
      <c r="AH13" s="105">
        <f t="shared" si="13"/>
        <v>12</v>
      </c>
      <c r="AI13" s="38"/>
      <c r="AJ13" s="22"/>
      <c r="AK13" s="22"/>
      <c r="AL13" s="104"/>
      <c r="AM13" s="29"/>
      <c r="AN13" s="106">
        <f t="shared" si="15"/>
        <v>0</v>
      </c>
      <c r="AO13" s="39"/>
      <c r="AP13" s="39"/>
      <c r="AQ13" s="107">
        <f t="shared" si="3"/>
        <v>0</v>
      </c>
      <c r="AR13" s="34">
        <f t="shared" si="4"/>
        <v>24</v>
      </c>
      <c r="AS13" s="396">
        <f t="shared" si="5"/>
        <v>9</v>
      </c>
      <c r="AT13" s="355">
        <v>24.2</v>
      </c>
      <c r="AU13" s="356">
        <f t="shared" si="6"/>
        <v>9.3333333333333339</v>
      </c>
      <c r="AV13" s="386">
        <f t="shared" si="7"/>
        <v>0</v>
      </c>
      <c r="AW13" s="358">
        <f t="shared" si="8"/>
        <v>0</v>
      </c>
      <c r="AX13" s="356">
        <f t="shared" si="9"/>
        <v>14.866666666666665</v>
      </c>
      <c r="AY13" s="387">
        <f t="shared" si="10"/>
        <v>0.38567493112947659</v>
      </c>
      <c r="AZ13" s="388">
        <f t="shared" si="11"/>
        <v>0.61432506887052341</v>
      </c>
      <c r="BA13" s="287">
        <v>1334317</v>
      </c>
      <c r="BB13" s="287">
        <f t="shared" si="12"/>
        <v>40433.848484848488</v>
      </c>
      <c r="BC13" s="9"/>
    </row>
    <row r="14" spans="1:55" ht="15.75" thickBot="1" x14ac:dyDescent="0.3">
      <c r="A14" s="77" t="s">
        <v>1103</v>
      </c>
      <c r="B14" s="77" t="s">
        <v>1104</v>
      </c>
      <c r="C14" s="97" t="s">
        <v>99</v>
      </c>
      <c r="D14" s="281"/>
      <c r="E14" s="278"/>
      <c r="F14" s="275" t="s">
        <v>99</v>
      </c>
      <c r="G14" s="19"/>
      <c r="H14" s="19"/>
      <c r="I14" s="20"/>
      <c r="J14" s="45"/>
      <c r="K14" s="29" t="s">
        <v>318</v>
      </c>
      <c r="L14" s="98">
        <v>44</v>
      </c>
      <c r="M14" s="19">
        <v>16</v>
      </c>
      <c r="N14" s="19"/>
      <c r="O14" s="291">
        <v>4</v>
      </c>
      <c r="P14" s="278"/>
      <c r="Q14" s="293"/>
      <c r="R14" s="99" t="str">
        <f>IF(G14="x",1,"")</f>
        <v/>
      </c>
      <c r="S14" s="100">
        <f t="shared" si="0"/>
        <v>20</v>
      </c>
      <c r="T14" s="101">
        <f>IF($C14="",0,VLOOKUP($C14,[4]Hoja1!$C$11:$D$27,2,FALSE)*M14)+IF($D14="",0,VLOOKUP($D14,[4]Hoja1!$C$11:$D$27,2,FALSE)*N14)+IF($F14="",0,VLOOKUP($F14,[4]Hoja1!$C$11:$D$27,2,FALSE)*O14)+IF(R14="",0,R14*0.5)</f>
        <v>6</v>
      </c>
      <c r="U14" s="19" t="s">
        <v>291</v>
      </c>
      <c r="V14" s="19"/>
      <c r="W14" s="102">
        <v>1.5</v>
      </c>
      <c r="X14" s="19"/>
      <c r="Y14" s="19"/>
      <c r="Z14" s="19"/>
      <c r="AA14" s="19"/>
      <c r="AB14" s="19"/>
      <c r="AC14" s="103"/>
      <c r="AD14" s="103">
        <v>2</v>
      </c>
      <c r="AE14" s="19"/>
      <c r="AF14" s="104"/>
      <c r="AG14" s="29"/>
      <c r="AH14" s="105">
        <f t="shared" si="13"/>
        <v>9.5</v>
      </c>
      <c r="AI14" s="38"/>
      <c r="AJ14" s="22"/>
      <c r="AK14" s="22"/>
      <c r="AL14" s="104"/>
      <c r="AM14" s="29"/>
      <c r="AN14" s="106">
        <f t="shared" si="15"/>
        <v>0</v>
      </c>
      <c r="AO14" s="39"/>
      <c r="AP14" s="39"/>
      <c r="AQ14" s="107">
        <f t="shared" si="3"/>
        <v>0</v>
      </c>
      <c r="AR14" s="34">
        <f t="shared" si="4"/>
        <v>29.5</v>
      </c>
      <c r="AS14" s="396">
        <f t="shared" si="5"/>
        <v>14.5</v>
      </c>
      <c r="AT14" s="355">
        <v>33.333333333333336</v>
      </c>
      <c r="AU14" s="356">
        <f t="shared" si="6"/>
        <v>13.333333333333334</v>
      </c>
      <c r="AV14" s="386">
        <f t="shared" si="7"/>
        <v>0</v>
      </c>
      <c r="AW14" s="358">
        <f t="shared" si="8"/>
        <v>0</v>
      </c>
      <c r="AX14" s="356">
        <f t="shared" si="9"/>
        <v>20</v>
      </c>
      <c r="AY14" s="387">
        <f t="shared" si="10"/>
        <v>0.39999999999999997</v>
      </c>
      <c r="AZ14" s="388">
        <f t="shared" si="11"/>
        <v>0.6</v>
      </c>
      <c r="BA14" s="287">
        <v>1920746</v>
      </c>
      <c r="BB14" s="287">
        <f t="shared" si="12"/>
        <v>43653.318181818184</v>
      </c>
      <c r="BC14" s="9"/>
    </row>
    <row r="15" spans="1:55" ht="15.75" thickBot="1" x14ac:dyDescent="0.3">
      <c r="A15" s="77" t="s">
        <v>546</v>
      </c>
      <c r="B15" s="77" t="s">
        <v>547</v>
      </c>
      <c r="C15" s="97" t="s">
        <v>114</v>
      </c>
      <c r="D15" s="281"/>
      <c r="E15" s="278"/>
      <c r="F15" s="296"/>
      <c r="G15" s="19" t="s">
        <v>57</v>
      </c>
      <c r="H15" s="19"/>
      <c r="I15" s="20"/>
      <c r="J15" s="45"/>
      <c r="K15" s="29" t="s">
        <v>303</v>
      </c>
      <c r="L15" s="98">
        <v>54</v>
      </c>
      <c r="M15" s="19">
        <v>20</v>
      </c>
      <c r="N15" s="19"/>
      <c r="O15" s="291"/>
      <c r="P15" s="278"/>
      <c r="Q15" s="293">
        <v>4</v>
      </c>
      <c r="R15" s="99">
        <v>1.25</v>
      </c>
      <c r="S15" s="100">
        <f t="shared" si="0"/>
        <v>25.25</v>
      </c>
      <c r="T15" s="101">
        <f>IF($C15="",0,VLOOKUP($C15,[4]Hoja1!$C$11:$D$27,2,FALSE)*M15)+IF($D15="",0,VLOOKUP($D15,[4]Hoja1!$C$11:$D$27,2,FALSE)*N15)+IF($F15="",0,VLOOKUP($F15,[4]Hoja1!$C$11:$D$27,2,FALSE)*O15)+IF(R15="",0,R15*0.5)</f>
        <v>10.625</v>
      </c>
      <c r="U15" s="19">
        <v>5</v>
      </c>
      <c r="V15" s="19"/>
      <c r="W15" s="102">
        <v>1.5</v>
      </c>
      <c r="X15" s="19"/>
      <c r="Y15" s="19"/>
      <c r="Z15" s="19"/>
      <c r="AA15" s="19"/>
      <c r="AB15" s="19">
        <v>3</v>
      </c>
      <c r="AC15" s="103">
        <v>1</v>
      </c>
      <c r="AD15" s="103">
        <v>0.75</v>
      </c>
      <c r="AE15" s="19">
        <v>0.5</v>
      </c>
      <c r="AF15" s="104">
        <f>M15*0.5+1.5</f>
        <v>11.5</v>
      </c>
      <c r="AG15" s="29" t="s">
        <v>543</v>
      </c>
      <c r="AH15" s="105">
        <f t="shared" si="13"/>
        <v>33.875</v>
      </c>
      <c r="AI15" s="38"/>
      <c r="AJ15" s="22"/>
      <c r="AK15" s="22"/>
      <c r="AL15" s="104"/>
      <c r="AM15" s="29"/>
      <c r="AN15" s="106">
        <f>SUM(AI15:AM15)</f>
        <v>0</v>
      </c>
      <c r="AO15" s="39"/>
      <c r="AP15" s="39"/>
      <c r="AQ15" s="107">
        <f t="shared" si="3"/>
        <v>0</v>
      </c>
      <c r="AR15" s="34">
        <f t="shared" si="4"/>
        <v>59.125</v>
      </c>
      <c r="AS15" s="396">
        <f t="shared" si="5"/>
        <v>-5.125</v>
      </c>
      <c r="AT15" s="355">
        <v>40.4</v>
      </c>
      <c r="AU15" s="356">
        <f t="shared" si="6"/>
        <v>18.833333333333332</v>
      </c>
      <c r="AV15" s="386">
        <f t="shared" si="7"/>
        <v>0</v>
      </c>
      <c r="AW15" s="358">
        <f t="shared" si="8"/>
        <v>0</v>
      </c>
      <c r="AX15" s="356">
        <f t="shared" si="9"/>
        <v>21.566666666666666</v>
      </c>
      <c r="AY15" s="359">
        <f t="shared" si="10"/>
        <v>0.46617161716171618</v>
      </c>
      <c r="AZ15" s="360">
        <f t="shared" si="11"/>
        <v>0.53382838283828382</v>
      </c>
      <c r="BA15" s="287">
        <v>1776374</v>
      </c>
      <c r="BB15" s="287">
        <f t="shared" si="12"/>
        <v>32895.814814814818</v>
      </c>
      <c r="BC15" s="9"/>
    </row>
    <row r="16" spans="1:55" ht="15.75" thickBot="1" x14ac:dyDescent="0.3">
      <c r="A16" s="77" t="s">
        <v>1105</v>
      </c>
      <c r="B16" s="77" t="s">
        <v>1106</v>
      </c>
      <c r="C16" s="97" t="s">
        <v>109</v>
      </c>
      <c r="D16" s="281"/>
      <c r="E16" s="278"/>
      <c r="F16" s="275" t="s">
        <v>109</v>
      </c>
      <c r="G16" s="19"/>
      <c r="H16" s="19"/>
      <c r="I16" s="20"/>
      <c r="J16" s="45"/>
      <c r="K16" s="29" t="s">
        <v>349</v>
      </c>
      <c r="L16" s="98">
        <v>54</v>
      </c>
      <c r="M16" s="19">
        <v>22</v>
      </c>
      <c r="N16" s="19"/>
      <c r="O16" s="291">
        <v>2</v>
      </c>
      <c r="P16" s="278"/>
      <c r="Q16" s="293"/>
      <c r="R16" s="99" t="str">
        <f>IF(G16="x",1,"")</f>
        <v/>
      </c>
      <c r="S16" s="100">
        <f t="shared" si="0"/>
        <v>24</v>
      </c>
      <c r="T16" s="101">
        <f>IF($C16="",0,VLOOKUP($C16,[4]Hoja1!$C$11:$D$27,2,FALSE)*M16)+IF($D16="",0,VLOOKUP($D16,[4]Hoja1!$C$11:$D$27,2,FALSE)*N16)+IF($F16="",0,VLOOKUP($F16,[4]Hoja1!$C$11:$D$27,2,FALSE)*O16)+IF(R16="",0,R16*0.5)</f>
        <v>12</v>
      </c>
      <c r="U16" s="19" t="s">
        <v>291</v>
      </c>
      <c r="V16" s="19"/>
      <c r="W16" s="102">
        <v>1.5</v>
      </c>
      <c r="X16" s="19"/>
      <c r="Y16" s="19"/>
      <c r="Z16" s="19"/>
      <c r="AA16" s="19"/>
      <c r="AB16" s="19">
        <v>1</v>
      </c>
      <c r="AC16" s="103"/>
      <c r="AD16" s="103">
        <v>1.75</v>
      </c>
      <c r="AE16" s="19">
        <v>0.5</v>
      </c>
      <c r="AF16" s="104">
        <v>0.5</v>
      </c>
      <c r="AG16" s="29" t="s">
        <v>577</v>
      </c>
      <c r="AH16" s="105">
        <f t="shared" si="13"/>
        <v>17.25</v>
      </c>
      <c r="AI16" s="38"/>
      <c r="AJ16" s="22"/>
      <c r="AK16" s="22"/>
      <c r="AL16" s="104"/>
      <c r="AM16" s="29"/>
      <c r="AN16" s="106">
        <f>SUM(AI16:AL16)</f>
        <v>0</v>
      </c>
      <c r="AO16" s="39"/>
      <c r="AP16" s="39"/>
      <c r="AQ16" s="107">
        <f t="shared" si="3"/>
        <v>0</v>
      </c>
      <c r="AR16" s="34">
        <f t="shared" si="4"/>
        <v>41.25</v>
      </c>
      <c r="AS16" s="396">
        <f t="shared" si="5"/>
        <v>12.75</v>
      </c>
      <c r="AT16" s="355">
        <v>40.4</v>
      </c>
      <c r="AU16" s="356">
        <f t="shared" si="6"/>
        <v>16.666666666666668</v>
      </c>
      <c r="AV16" s="386">
        <f t="shared" si="7"/>
        <v>0</v>
      </c>
      <c r="AW16" s="358">
        <f t="shared" si="8"/>
        <v>0</v>
      </c>
      <c r="AX16" s="356">
        <f t="shared" si="9"/>
        <v>23.733333333333331</v>
      </c>
      <c r="AY16" s="387">
        <f t="shared" si="10"/>
        <v>0.41254125412541259</v>
      </c>
      <c r="AZ16" s="388">
        <f t="shared" si="11"/>
        <v>0.58745874587458746</v>
      </c>
      <c r="BA16" s="287">
        <v>1800000</v>
      </c>
      <c r="BB16" s="287">
        <f t="shared" si="12"/>
        <v>33333.333333333336</v>
      </c>
      <c r="BC16" s="9"/>
    </row>
    <row r="17" spans="1:55" ht="15.75" thickBot="1" x14ac:dyDescent="0.3">
      <c r="A17" s="77" t="s">
        <v>548</v>
      </c>
      <c r="B17" s="77" t="s">
        <v>549</v>
      </c>
      <c r="C17" s="97" t="s">
        <v>114</v>
      </c>
      <c r="D17" s="281"/>
      <c r="E17" s="278"/>
      <c r="F17" s="296"/>
      <c r="G17" s="19" t="s">
        <v>57</v>
      </c>
      <c r="H17" s="19"/>
      <c r="I17" s="20"/>
      <c r="J17" s="45"/>
      <c r="K17" s="29" t="s">
        <v>303</v>
      </c>
      <c r="L17" s="98">
        <v>54</v>
      </c>
      <c r="M17" s="19">
        <v>14</v>
      </c>
      <c r="N17" s="19"/>
      <c r="O17" s="291"/>
      <c r="P17" s="278"/>
      <c r="Q17" s="293">
        <v>10</v>
      </c>
      <c r="R17" s="99">
        <v>1.25</v>
      </c>
      <c r="S17" s="100">
        <f t="shared" si="0"/>
        <v>25.25</v>
      </c>
      <c r="T17" s="101">
        <f>IF($C17="",0,VLOOKUP($C17,[4]Hoja1!$C$11:$D$27,2,FALSE)*M17)+IF($D17="",0,VLOOKUP($D17,[4]Hoja1!$C$11:$D$27,2,FALSE)*N17)+IF($F17="",0,VLOOKUP($F17,[4]Hoja1!$C$11:$D$27,2,FALSE)*O17)+IF(R17="",0,R17*0.5)</f>
        <v>7.625</v>
      </c>
      <c r="U17" s="19">
        <v>5</v>
      </c>
      <c r="V17" s="19"/>
      <c r="W17" s="102">
        <v>1.5</v>
      </c>
      <c r="X17" s="19">
        <v>3</v>
      </c>
      <c r="Y17" s="19"/>
      <c r="Z17" s="19"/>
      <c r="AA17" s="19"/>
      <c r="AB17" s="19"/>
      <c r="AC17" s="103">
        <v>1</v>
      </c>
      <c r="AD17" s="103">
        <v>0.5</v>
      </c>
      <c r="AE17" s="19">
        <v>0.5</v>
      </c>
      <c r="AF17" s="104">
        <f>M17*0.5+3</f>
        <v>10</v>
      </c>
      <c r="AG17" s="29" t="s">
        <v>550</v>
      </c>
      <c r="AH17" s="105">
        <f t="shared" si="13"/>
        <v>29.125</v>
      </c>
      <c r="AI17" s="38"/>
      <c r="AJ17" s="22"/>
      <c r="AK17" s="22"/>
      <c r="AL17" s="104"/>
      <c r="AM17" s="29"/>
      <c r="AN17" s="106">
        <f>SUM(AI17:AM17)</f>
        <v>0</v>
      </c>
      <c r="AO17" s="39"/>
      <c r="AP17" s="39"/>
      <c r="AQ17" s="107">
        <f t="shared" si="3"/>
        <v>0</v>
      </c>
      <c r="AR17" s="34">
        <f t="shared" si="4"/>
        <v>54.375</v>
      </c>
      <c r="AS17" s="396">
        <f t="shared" si="5"/>
        <v>-0.375</v>
      </c>
      <c r="AT17" s="355">
        <v>39.383333333333333</v>
      </c>
      <c r="AU17" s="356">
        <f t="shared" si="6"/>
        <v>16.833333333333332</v>
      </c>
      <c r="AV17" s="386">
        <f t="shared" si="7"/>
        <v>0</v>
      </c>
      <c r="AW17" s="358">
        <f t="shared" si="8"/>
        <v>0</v>
      </c>
      <c r="AX17" s="356">
        <f t="shared" si="9"/>
        <v>22.55</v>
      </c>
      <c r="AY17" s="359">
        <f t="shared" si="10"/>
        <v>0.42742276766821835</v>
      </c>
      <c r="AZ17" s="360">
        <f t="shared" si="11"/>
        <v>0.5725772323317817</v>
      </c>
      <c r="BA17" s="287">
        <v>2156557</v>
      </c>
      <c r="BB17" s="287">
        <f t="shared" si="12"/>
        <v>39936.240740740737</v>
      </c>
      <c r="BC17" s="9"/>
    </row>
    <row r="18" spans="1:55" ht="15.75" thickBot="1" x14ac:dyDescent="0.3">
      <c r="A18" s="77" t="s">
        <v>1107</v>
      </c>
      <c r="B18" s="77" t="s">
        <v>1108</v>
      </c>
      <c r="C18" s="97" t="s">
        <v>74</v>
      </c>
      <c r="D18" s="281"/>
      <c r="E18" s="278"/>
      <c r="F18" s="275" t="s">
        <v>74</v>
      </c>
      <c r="G18" s="19"/>
      <c r="H18" s="19"/>
      <c r="I18" s="20"/>
      <c r="J18" s="45"/>
      <c r="K18" s="29" t="s">
        <v>349</v>
      </c>
      <c r="L18" s="98">
        <v>33</v>
      </c>
      <c r="M18" s="19">
        <v>10</v>
      </c>
      <c r="N18" s="19"/>
      <c r="O18" s="291">
        <v>4</v>
      </c>
      <c r="P18" s="278"/>
      <c r="Q18" s="293"/>
      <c r="R18" s="99" t="str">
        <f>IF(G18="x",1,"")</f>
        <v/>
      </c>
      <c r="S18" s="100">
        <f t="shared" si="0"/>
        <v>14</v>
      </c>
      <c r="T18" s="101">
        <f>IF($C18="",0,VLOOKUP($C18,[4]Hoja1!$C$11:$D$27,2,FALSE)*M18)+IF($D18="",0,VLOOKUP($D18,[4]Hoja1!$C$11:$D$27,2,FALSE)*N18)+IF($F18="",0,VLOOKUP($F18,[4]Hoja1!$C$11:$D$27,2,FALSE)*O18)+IF(R18="",0,R18*0.5)</f>
        <v>7</v>
      </c>
      <c r="U18" s="19" t="s">
        <v>291</v>
      </c>
      <c r="V18" s="19"/>
      <c r="W18" s="102">
        <v>1.5</v>
      </c>
      <c r="X18" s="19"/>
      <c r="Y18" s="19"/>
      <c r="Z18" s="19"/>
      <c r="AA18" s="19"/>
      <c r="AB18" s="19">
        <v>3</v>
      </c>
      <c r="AC18" s="103"/>
      <c r="AD18" s="103">
        <v>2</v>
      </c>
      <c r="AE18" s="19"/>
      <c r="AF18" s="104"/>
      <c r="AG18" s="29"/>
      <c r="AH18" s="105">
        <f t="shared" si="13"/>
        <v>13.5</v>
      </c>
      <c r="AI18" s="38"/>
      <c r="AJ18" s="22"/>
      <c r="AK18" s="22"/>
      <c r="AL18" s="104"/>
      <c r="AM18" s="29"/>
      <c r="AN18" s="106">
        <f t="shared" ref="AN18" si="16">SUM(AI18:AL18)</f>
        <v>0</v>
      </c>
      <c r="AO18" s="39"/>
      <c r="AP18" s="39"/>
      <c r="AQ18" s="107">
        <f t="shared" si="3"/>
        <v>0</v>
      </c>
      <c r="AR18" s="34">
        <f t="shared" si="4"/>
        <v>27.5</v>
      </c>
      <c r="AS18" s="396">
        <f t="shared" si="5"/>
        <v>5.5</v>
      </c>
      <c r="AT18" s="355">
        <v>40.233333333333334</v>
      </c>
      <c r="AU18" s="356">
        <f t="shared" si="6"/>
        <v>11.333333333333334</v>
      </c>
      <c r="AV18" s="386">
        <f t="shared" si="7"/>
        <v>0</v>
      </c>
      <c r="AW18" s="358">
        <f t="shared" si="8"/>
        <v>0</v>
      </c>
      <c r="AX18" s="356">
        <f t="shared" si="9"/>
        <v>28.9</v>
      </c>
      <c r="AY18" s="387">
        <f t="shared" si="10"/>
        <v>0.28169014084507044</v>
      </c>
      <c r="AZ18" s="388">
        <f t="shared" si="11"/>
        <v>0.71830985915492951</v>
      </c>
      <c r="BA18" s="287">
        <v>1322375</v>
      </c>
      <c r="BB18" s="287">
        <f t="shared" si="12"/>
        <v>40071.969696969696</v>
      </c>
      <c r="BC18" s="9"/>
    </row>
    <row r="19" spans="1:55" ht="15.75" thickBot="1" x14ac:dyDescent="0.3">
      <c r="A19" s="77" t="s">
        <v>551</v>
      </c>
      <c r="B19" s="77" t="s">
        <v>552</v>
      </c>
      <c r="C19" s="97" t="s">
        <v>114</v>
      </c>
      <c r="D19" s="281"/>
      <c r="E19" s="278"/>
      <c r="F19" s="296"/>
      <c r="G19" s="19" t="s">
        <v>57</v>
      </c>
      <c r="H19" s="19"/>
      <c r="I19" s="20"/>
      <c r="J19" s="45"/>
      <c r="K19" s="29" t="s">
        <v>303</v>
      </c>
      <c r="L19" s="98">
        <v>54</v>
      </c>
      <c r="M19" s="19">
        <v>22</v>
      </c>
      <c r="N19" s="19"/>
      <c r="O19" s="291"/>
      <c r="P19" s="278"/>
      <c r="Q19" s="293">
        <v>2</v>
      </c>
      <c r="R19" s="99">
        <v>1.25</v>
      </c>
      <c r="S19" s="100">
        <f t="shared" si="0"/>
        <v>25.25</v>
      </c>
      <c r="T19" s="101">
        <f>IF($C19="",0,VLOOKUP($C19,[4]Hoja1!$C$11:$D$27,2,FALSE)*M19)+IF($D19="",0,VLOOKUP($D19,[4]Hoja1!$C$11:$D$27,2,FALSE)*N19)+IF($F19="",0,VLOOKUP($F19,[4]Hoja1!$C$11:$D$27,2,FALSE)*O19)+IF(R19="",0,R19*0.5)</f>
        <v>11.625</v>
      </c>
      <c r="U19" s="19">
        <v>5</v>
      </c>
      <c r="V19" s="19"/>
      <c r="W19" s="102">
        <v>1.5</v>
      </c>
      <c r="X19" s="19"/>
      <c r="Y19" s="19"/>
      <c r="Z19" s="19"/>
      <c r="AA19" s="19"/>
      <c r="AB19" s="19">
        <v>3</v>
      </c>
      <c r="AC19" s="103"/>
      <c r="AD19" s="103">
        <v>1</v>
      </c>
      <c r="AE19" s="19">
        <v>0.5</v>
      </c>
      <c r="AF19" s="104">
        <f>M19*0.5+0.5</f>
        <v>11.5</v>
      </c>
      <c r="AG19" s="29" t="s">
        <v>538</v>
      </c>
      <c r="AH19" s="105">
        <f t="shared" si="13"/>
        <v>34.125</v>
      </c>
      <c r="AI19" s="38"/>
      <c r="AJ19" s="22"/>
      <c r="AK19" s="22"/>
      <c r="AL19" s="104"/>
      <c r="AM19" s="29"/>
      <c r="AN19" s="106">
        <f t="shared" ref="AN19:AN20" si="17">SUM(AI19:AM19)</f>
        <v>0</v>
      </c>
      <c r="AO19" s="39"/>
      <c r="AP19" s="39"/>
      <c r="AQ19" s="107">
        <f t="shared" si="3"/>
        <v>0</v>
      </c>
      <c r="AR19" s="34">
        <f t="shared" si="4"/>
        <v>59.375</v>
      </c>
      <c r="AS19" s="396">
        <f t="shared" si="5"/>
        <v>-5.375</v>
      </c>
      <c r="AT19" s="355">
        <v>40.4</v>
      </c>
      <c r="AU19" s="356">
        <f t="shared" si="6"/>
        <v>18.833333333333332</v>
      </c>
      <c r="AV19" s="386">
        <f t="shared" si="7"/>
        <v>0</v>
      </c>
      <c r="AW19" s="358">
        <f t="shared" si="8"/>
        <v>0</v>
      </c>
      <c r="AX19" s="356">
        <f t="shared" si="9"/>
        <v>21.566666666666666</v>
      </c>
      <c r="AY19" s="359">
        <f t="shared" si="10"/>
        <v>0.46617161716171618</v>
      </c>
      <c r="AZ19" s="360">
        <f t="shared" si="11"/>
        <v>0.53382838283828382</v>
      </c>
      <c r="BA19" s="287">
        <v>2761337</v>
      </c>
      <c r="BB19" s="287">
        <f t="shared" si="12"/>
        <v>51135.870370370372</v>
      </c>
      <c r="BC19" s="9"/>
    </row>
    <row r="20" spans="1:55" ht="15.75" thickBot="1" x14ac:dyDescent="0.3">
      <c r="A20" s="77" t="s">
        <v>553</v>
      </c>
      <c r="B20" s="77" t="s">
        <v>554</v>
      </c>
      <c r="C20" s="97" t="s">
        <v>55</v>
      </c>
      <c r="D20" s="281"/>
      <c r="E20" s="278"/>
      <c r="F20" s="296"/>
      <c r="G20" s="19" t="s">
        <v>57</v>
      </c>
      <c r="H20" s="19"/>
      <c r="I20" s="20"/>
      <c r="J20" s="45"/>
      <c r="K20" s="29" t="s">
        <v>290</v>
      </c>
      <c r="L20" s="98">
        <v>54</v>
      </c>
      <c r="M20" s="19">
        <v>17</v>
      </c>
      <c r="N20" s="19"/>
      <c r="O20" s="291"/>
      <c r="P20" s="278"/>
      <c r="Q20" s="293"/>
      <c r="R20" s="99">
        <v>5.25</v>
      </c>
      <c r="S20" s="100">
        <f t="shared" si="0"/>
        <v>22.25</v>
      </c>
      <c r="T20" s="101">
        <f>IF($C20="",0,VLOOKUP($C20,[4]Hoja1!$C$11:$D$27,2,FALSE)*M20)+IF($D20="",0,VLOOKUP($D20,[4]Hoja1!$C$11:$D$27,2,FALSE)*N20)+IF($F20="",0,VLOOKUP($F20,[4]Hoja1!$C$11:$D$27,2,FALSE)*O20)+IF(R20="",0,R20*0.5)</f>
        <v>12.824999999999999</v>
      </c>
      <c r="U20" s="19">
        <v>8</v>
      </c>
      <c r="V20" s="19">
        <v>5</v>
      </c>
      <c r="W20" s="102">
        <v>1.5</v>
      </c>
      <c r="X20" s="19">
        <v>3</v>
      </c>
      <c r="Y20" s="19"/>
      <c r="Z20" s="19"/>
      <c r="AA20" s="19"/>
      <c r="AB20" s="19">
        <v>3</v>
      </c>
      <c r="AC20" s="103"/>
      <c r="AD20" s="103">
        <v>1</v>
      </c>
      <c r="AE20" s="19"/>
      <c r="AF20" s="104">
        <v>4</v>
      </c>
      <c r="AG20" s="29" t="s">
        <v>555</v>
      </c>
      <c r="AH20" s="105">
        <f t="shared" si="13"/>
        <v>38.325000000000003</v>
      </c>
      <c r="AI20" s="38"/>
      <c r="AJ20" s="22"/>
      <c r="AK20" s="22"/>
      <c r="AL20" s="104"/>
      <c r="AM20" s="29"/>
      <c r="AN20" s="106">
        <f t="shared" si="17"/>
        <v>0</v>
      </c>
      <c r="AO20" s="39"/>
      <c r="AP20" s="39"/>
      <c r="AQ20" s="107">
        <f t="shared" si="3"/>
        <v>0</v>
      </c>
      <c r="AR20" s="34">
        <f t="shared" si="4"/>
        <v>60.575000000000003</v>
      </c>
      <c r="AS20" s="396">
        <f t="shared" si="5"/>
        <v>-6.5750000000000028</v>
      </c>
      <c r="AT20" s="355">
        <v>40.366666666666667</v>
      </c>
      <c r="AU20" s="356">
        <f t="shared" si="6"/>
        <v>16.833333333333332</v>
      </c>
      <c r="AV20" s="386">
        <f t="shared" si="7"/>
        <v>0</v>
      </c>
      <c r="AW20" s="358">
        <f t="shared" si="8"/>
        <v>0</v>
      </c>
      <c r="AX20" s="356">
        <f t="shared" si="9"/>
        <v>23.533333333333335</v>
      </c>
      <c r="AY20" s="359">
        <f t="shared" si="10"/>
        <v>0.41701073492981006</v>
      </c>
      <c r="AZ20" s="360">
        <f t="shared" si="11"/>
        <v>0.58298926507019</v>
      </c>
      <c r="BA20" s="287">
        <v>3233627</v>
      </c>
      <c r="BB20" s="287">
        <f t="shared" si="12"/>
        <v>59881.981481481482</v>
      </c>
      <c r="BC20" s="9"/>
    </row>
    <row r="21" spans="1:55" ht="15.75" thickBot="1" x14ac:dyDescent="0.3">
      <c r="A21" s="77" t="s">
        <v>1109</v>
      </c>
      <c r="B21" s="77" t="s">
        <v>1110</v>
      </c>
      <c r="C21" s="97" t="s">
        <v>61</v>
      </c>
      <c r="D21" s="281"/>
      <c r="E21" s="278"/>
      <c r="F21" s="296"/>
      <c r="G21" s="19"/>
      <c r="H21" s="19"/>
      <c r="I21" s="20"/>
      <c r="J21" s="45"/>
      <c r="K21" s="29" t="s">
        <v>318</v>
      </c>
      <c r="L21" s="98">
        <v>54</v>
      </c>
      <c r="M21" s="19">
        <v>20</v>
      </c>
      <c r="N21" s="19"/>
      <c r="O21" s="291"/>
      <c r="P21" s="278"/>
      <c r="Q21" s="293">
        <v>4</v>
      </c>
      <c r="R21" s="99" t="str">
        <f>IF(G21="x",1,"")</f>
        <v/>
      </c>
      <c r="S21" s="100">
        <f t="shared" si="0"/>
        <v>24</v>
      </c>
      <c r="T21" s="101">
        <f>IF($C21="",0,VLOOKUP($C21,[4]Hoja1!$C$11:$D$27,2,FALSE)*M21)+IF($D21="",0,VLOOKUP($D21,[4]Hoja1!$C$11:$D$27,2,FALSE)*N21)+IF($F21="",0,VLOOKUP($F21,[4]Hoja1!$C$11:$D$27,2,FALSE)*O21)+IF(R21="",0,R21*0.5)</f>
        <v>10</v>
      </c>
      <c r="U21" s="19" t="s">
        <v>291</v>
      </c>
      <c r="V21" s="19"/>
      <c r="W21" s="102">
        <v>1.5</v>
      </c>
      <c r="X21" s="19"/>
      <c r="Y21" s="19"/>
      <c r="Z21" s="19"/>
      <c r="AA21" s="19"/>
      <c r="AB21" s="19"/>
      <c r="AC21" s="103"/>
      <c r="AD21" s="103">
        <v>2</v>
      </c>
      <c r="AE21" s="19">
        <v>0.5</v>
      </c>
      <c r="AF21" s="104">
        <v>0.5</v>
      </c>
      <c r="AG21" s="29" t="s">
        <v>577</v>
      </c>
      <c r="AH21" s="105">
        <f t="shared" si="13"/>
        <v>14.5</v>
      </c>
      <c r="AI21" s="38"/>
      <c r="AJ21" s="22"/>
      <c r="AK21" s="22"/>
      <c r="AL21" s="104"/>
      <c r="AM21" s="29"/>
      <c r="AN21" s="106">
        <f>SUM(AI21:AL21)</f>
        <v>0</v>
      </c>
      <c r="AO21" s="39"/>
      <c r="AP21" s="39"/>
      <c r="AQ21" s="107">
        <f t="shared" si="3"/>
        <v>0</v>
      </c>
      <c r="AR21" s="34">
        <f t="shared" si="4"/>
        <v>38.5</v>
      </c>
      <c r="AS21" s="396">
        <f t="shared" si="5"/>
        <v>15.5</v>
      </c>
      <c r="AT21" s="355">
        <v>40.4</v>
      </c>
      <c r="AU21" s="356">
        <f t="shared" si="6"/>
        <v>16</v>
      </c>
      <c r="AV21" s="386">
        <f t="shared" si="7"/>
        <v>0</v>
      </c>
      <c r="AW21" s="358">
        <f t="shared" si="8"/>
        <v>0</v>
      </c>
      <c r="AX21" s="356">
        <f t="shared" si="9"/>
        <v>24.4</v>
      </c>
      <c r="AY21" s="387">
        <f t="shared" si="10"/>
        <v>0.39603960396039606</v>
      </c>
      <c r="AZ21" s="388">
        <f t="shared" si="11"/>
        <v>0.60396039603960394</v>
      </c>
      <c r="BA21" s="287">
        <v>1550000</v>
      </c>
      <c r="BB21" s="287">
        <f t="shared" si="12"/>
        <v>28703.703703703704</v>
      </c>
      <c r="BC21" s="9"/>
    </row>
    <row r="22" spans="1:55" ht="15.75" thickBot="1" x14ac:dyDescent="0.3">
      <c r="A22" s="77" t="s">
        <v>556</v>
      </c>
      <c r="B22" s="77" t="s">
        <v>557</v>
      </c>
      <c r="C22" s="97" t="s">
        <v>64</v>
      </c>
      <c r="D22" s="281"/>
      <c r="E22" s="278"/>
      <c r="F22" s="296"/>
      <c r="G22" s="19" t="s">
        <v>57</v>
      </c>
      <c r="H22" s="19"/>
      <c r="I22" s="20"/>
      <c r="J22" s="45"/>
      <c r="K22" s="29" t="s">
        <v>303</v>
      </c>
      <c r="L22" s="98">
        <v>54</v>
      </c>
      <c r="M22" s="19">
        <v>10</v>
      </c>
      <c r="N22" s="19"/>
      <c r="O22" s="291"/>
      <c r="P22" s="278"/>
      <c r="Q22" s="293">
        <v>10</v>
      </c>
      <c r="R22" s="99">
        <v>5.25</v>
      </c>
      <c r="S22" s="100">
        <f t="shared" si="0"/>
        <v>25.25</v>
      </c>
      <c r="T22" s="101">
        <f>IF($C22="",0,VLOOKUP($C22,[4]Hoja1!$C$11:$D$27,2,FALSE)*M22)+IF($D22="",0,VLOOKUP($D22,[4]Hoja1!$C$11:$D$27,2,FALSE)*N22)+IF($F22="",0,VLOOKUP($F22,[4]Hoja1!$C$11:$D$27,2,FALSE)*O22)+IF(R22="",0,R22*0.5)</f>
        <v>7.625</v>
      </c>
      <c r="U22" s="19">
        <v>5</v>
      </c>
      <c r="V22" s="19"/>
      <c r="W22" s="102">
        <v>1.5</v>
      </c>
      <c r="X22" s="19">
        <v>3</v>
      </c>
      <c r="Y22" s="19"/>
      <c r="Z22" s="19"/>
      <c r="AA22" s="19"/>
      <c r="AB22" s="19"/>
      <c r="AC22" s="103"/>
      <c r="AD22" s="103">
        <v>2</v>
      </c>
      <c r="AE22" s="19"/>
      <c r="AF22" s="104">
        <f>M22*0.5+3.5</f>
        <v>8.5</v>
      </c>
      <c r="AG22" s="29" t="s">
        <v>558</v>
      </c>
      <c r="AH22" s="105">
        <f t="shared" si="13"/>
        <v>27.625</v>
      </c>
      <c r="AI22" s="38"/>
      <c r="AJ22" s="22"/>
      <c r="AK22" s="22"/>
      <c r="AL22" s="104"/>
      <c r="AM22" s="29"/>
      <c r="AN22" s="106">
        <f>SUM(AI22:AM22)</f>
        <v>0</v>
      </c>
      <c r="AO22" s="39"/>
      <c r="AP22" s="39"/>
      <c r="AQ22" s="107">
        <f t="shared" si="3"/>
        <v>0</v>
      </c>
      <c r="AR22" s="34">
        <f t="shared" si="4"/>
        <v>52.875</v>
      </c>
      <c r="AS22" s="396">
        <f t="shared" si="5"/>
        <v>1.125</v>
      </c>
      <c r="AT22" s="355">
        <v>40.416666666666664</v>
      </c>
      <c r="AU22" s="356">
        <f t="shared" si="6"/>
        <v>16.833333333333332</v>
      </c>
      <c r="AV22" s="386">
        <f t="shared" si="7"/>
        <v>0</v>
      </c>
      <c r="AW22" s="358">
        <f t="shared" si="8"/>
        <v>0</v>
      </c>
      <c r="AX22" s="356">
        <f t="shared" si="9"/>
        <v>23.583333333333332</v>
      </c>
      <c r="AY22" s="359">
        <f t="shared" si="10"/>
        <v>0.41649484536082476</v>
      </c>
      <c r="AZ22" s="360">
        <f t="shared" si="11"/>
        <v>0.58350515463917529</v>
      </c>
      <c r="BA22" s="287">
        <v>2281694</v>
      </c>
      <c r="BB22" s="287">
        <f t="shared" si="12"/>
        <v>42253.592592592591</v>
      </c>
      <c r="BC22" s="9"/>
    </row>
    <row r="23" spans="1:55" ht="15.75" thickBot="1" x14ac:dyDescent="0.3">
      <c r="A23" s="77" t="s">
        <v>1111</v>
      </c>
      <c r="B23" s="77" t="s">
        <v>1112</v>
      </c>
      <c r="C23" s="97" t="s">
        <v>114</v>
      </c>
      <c r="D23" s="281"/>
      <c r="E23" s="278"/>
      <c r="F23" s="296"/>
      <c r="G23" s="19"/>
      <c r="H23" s="19"/>
      <c r="I23" s="20"/>
      <c r="J23" s="45"/>
      <c r="K23" s="29" t="s">
        <v>303</v>
      </c>
      <c r="L23" s="98">
        <v>54</v>
      </c>
      <c r="M23" s="19">
        <v>18</v>
      </c>
      <c r="N23" s="19"/>
      <c r="O23" s="291"/>
      <c r="P23" s="278"/>
      <c r="Q23" s="293">
        <v>6</v>
      </c>
      <c r="R23" s="99" t="str">
        <f>IF(G23="x",1,"")</f>
        <v/>
      </c>
      <c r="S23" s="100">
        <f t="shared" si="0"/>
        <v>24</v>
      </c>
      <c r="T23" s="101">
        <f>IF($C23="",0,VLOOKUP($C23,[4]Hoja1!$C$11:$D$27,2,FALSE)*M23)+IF($D23="",0,VLOOKUP($D23,[4]Hoja1!$C$11:$D$27,2,FALSE)*N23)+IF($F23="",0,VLOOKUP($F23,[4]Hoja1!$C$11:$D$27,2,FALSE)*O23)+IF(R23="",0,R23*0.5)</f>
        <v>9</v>
      </c>
      <c r="U23" s="19" t="s">
        <v>291</v>
      </c>
      <c r="V23" s="19"/>
      <c r="W23" s="102">
        <v>1.5</v>
      </c>
      <c r="X23" s="19"/>
      <c r="Y23" s="19"/>
      <c r="Z23" s="19"/>
      <c r="AA23" s="19"/>
      <c r="AB23" s="19"/>
      <c r="AC23" s="103">
        <v>1</v>
      </c>
      <c r="AD23" s="103">
        <v>0.75</v>
      </c>
      <c r="AE23" s="19"/>
      <c r="AF23" s="104">
        <f>M23*0.5+1.5</f>
        <v>10.5</v>
      </c>
      <c r="AG23" s="29" t="s">
        <v>543</v>
      </c>
      <c r="AH23" s="105">
        <f t="shared" si="13"/>
        <v>22.75</v>
      </c>
      <c r="AI23" s="38"/>
      <c r="AJ23" s="22"/>
      <c r="AK23" s="22"/>
      <c r="AL23" s="104"/>
      <c r="AM23" s="29"/>
      <c r="AN23" s="106">
        <f t="shared" ref="AN23:AN25" si="18">SUM(AI23:AM23)</f>
        <v>0</v>
      </c>
      <c r="AO23" s="39"/>
      <c r="AP23" s="39"/>
      <c r="AQ23" s="107">
        <f t="shared" si="3"/>
        <v>0</v>
      </c>
      <c r="AR23" s="34">
        <f t="shared" si="4"/>
        <v>46.75</v>
      </c>
      <c r="AS23" s="396">
        <f t="shared" si="5"/>
        <v>7.25</v>
      </c>
      <c r="AT23" s="355">
        <v>40.4</v>
      </c>
      <c r="AU23" s="356">
        <f t="shared" si="6"/>
        <v>16</v>
      </c>
      <c r="AV23" s="386">
        <f t="shared" si="7"/>
        <v>0</v>
      </c>
      <c r="AW23" s="358">
        <f t="shared" si="8"/>
        <v>0</v>
      </c>
      <c r="AX23" s="356">
        <f t="shared" si="9"/>
        <v>24.4</v>
      </c>
      <c r="AY23" s="387">
        <f t="shared" si="10"/>
        <v>0.39603960396039606</v>
      </c>
      <c r="AZ23" s="388">
        <f t="shared" si="11"/>
        <v>0.60396039603960394</v>
      </c>
      <c r="BA23" s="287">
        <v>1450000</v>
      </c>
      <c r="BB23" s="287">
        <f t="shared" si="12"/>
        <v>26851.85185185185</v>
      </c>
      <c r="BC23" s="9"/>
    </row>
    <row r="24" spans="1:55" ht="15.75" thickBot="1" x14ac:dyDescent="0.3">
      <c r="A24" s="77" t="s">
        <v>559</v>
      </c>
      <c r="B24" s="77" t="s">
        <v>560</v>
      </c>
      <c r="C24" s="97" t="s">
        <v>114</v>
      </c>
      <c r="D24" s="281"/>
      <c r="E24" s="278"/>
      <c r="F24" s="296"/>
      <c r="G24" s="19" t="s">
        <v>57</v>
      </c>
      <c r="H24" s="19"/>
      <c r="I24" s="20"/>
      <c r="J24" s="45"/>
      <c r="K24" s="29" t="s">
        <v>303</v>
      </c>
      <c r="L24" s="98">
        <v>54</v>
      </c>
      <c r="M24" s="19">
        <v>17</v>
      </c>
      <c r="N24" s="19"/>
      <c r="O24" s="291"/>
      <c r="P24" s="278"/>
      <c r="Q24" s="293">
        <v>8</v>
      </c>
      <c r="R24" s="99">
        <v>1.25</v>
      </c>
      <c r="S24" s="100">
        <f t="shared" si="0"/>
        <v>26.25</v>
      </c>
      <c r="T24" s="101">
        <f>IF($C24="",0,VLOOKUP($C24,[4]Hoja1!$C$11:$D$27,2,FALSE)*M24)+IF($D24="",0,VLOOKUP($D24,[4]Hoja1!$C$11:$D$27,2,FALSE)*N24)+IF($F24="",0,VLOOKUP($F24,[4]Hoja1!$C$11:$D$27,2,FALSE)*O24)+IF(R24="",0,R24*0.5)</f>
        <v>9.125</v>
      </c>
      <c r="U24" s="19">
        <v>5</v>
      </c>
      <c r="V24" s="19"/>
      <c r="W24" s="102">
        <v>1.5</v>
      </c>
      <c r="X24" s="19"/>
      <c r="Y24" s="19"/>
      <c r="Z24" s="19"/>
      <c r="AA24" s="19"/>
      <c r="AB24" s="19"/>
      <c r="AC24" s="103">
        <v>1</v>
      </c>
      <c r="AD24" s="103">
        <v>1</v>
      </c>
      <c r="AE24" s="19"/>
      <c r="AF24" s="104">
        <f>M24*0.5</f>
        <v>8.5</v>
      </c>
      <c r="AG24" s="29" t="s">
        <v>543</v>
      </c>
      <c r="AH24" s="105">
        <f t="shared" si="13"/>
        <v>26.125</v>
      </c>
      <c r="AI24" s="38"/>
      <c r="AJ24" s="22"/>
      <c r="AK24" s="22"/>
      <c r="AL24" s="104"/>
      <c r="AM24" s="29"/>
      <c r="AN24" s="106">
        <f t="shared" si="18"/>
        <v>0</v>
      </c>
      <c r="AO24" s="39"/>
      <c r="AP24" s="39"/>
      <c r="AQ24" s="107">
        <f t="shared" si="3"/>
        <v>0</v>
      </c>
      <c r="AR24" s="34">
        <f t="shared" si="4"/>
        <v>52.375</v>
      </c>
      <c r="AS24" s="396">
        <f t="shared" si="5"/>
        <v>1.625</v>
      </c>
      <c r="AT24" s="355">
        <v>40.4</v>
      </c>
      <c r="AU24" s="356">
        <f t="shared" si="6"/>
        <v>17.5</v>
      </c>
      <c r="AV24" s="386">
        <f t="shared" si="7"/>
        <v>0</v>
      </c>
      <c r="AW24" s="358">
        <f t="shared" si="8"/>
        <v>0</v>
      </c>
      <c r="AX24" s="356">
        <f t="shared" si="9"/>
        <v>22.9</v>
      </c>
      <c r="AY24" s="359">
        <f t="shared" si="10"/>
        <v>0.43316831683168316</v>
      </c>
      <c r="AZ24" s="360">
        <f t="shared" si="11"/>
        <v>0.56683168316831678</v>
      </c>
      <c r="BA24" s="287">
        <v>1692582</v>
      </c>
      <c r="BB24" s="287">
        <f t="shared" si="12"/>
        <v>31344.111111111109</v>
      </c>
      <c r="BC24" s="9"/>
    </row>
    <row r="25" spans="1:55" ht="15.75" thickBot="1" x14ac:dyDescent="0.3">
      <c r="A25" s="77" t="s">
        <v>561</v>
      </c>
      <c r="B25" s="77" t="s">
        <v>562</v>
      </c>
      <c r="C25" s="97" t="s">
        <v>64</v>
      </c>
      <c r="D25" s="280" t="s">
        <v>56</v>
      </c>
      <c r="E25" s="278"/>
      <c r="F25" s="296"/>
      <c r="G25" s="19" t="s">
        <v>57</v>
      </c>
      <c r="H25" s="19"/>
      <c r="I25" s="20"/>
      <c r="J25" s="45"/>
      <c r="K25" s="29" t="s">
        <v>429</v>
      </c>
      <c r="L25" s="98">
        <v>54</v>
      </c>
      <c r="M25" s="19">
        <v>12</v>
      </c>
      <c r="N25" s="19">
        <v>8</v>
      </c>
      <c r="O25" s="291"/>
      <c r="P25" s="278"/>
      <c r="Q25" s="293"/>
      <c r="R25" s="99">
        <v>3.25</v>
      </c>
      <c r="S25" s="100">
        <f t="shared" si="0"/>
        <v>23.25</v>
      </c>
      <c r="T25" s="101">
        <f>IF($C25="",0,VLOOKUP($C25,[4]Hoja1!$C$11:$D$27,2,FALSE)*M25)+IF($D25="",0,VLOOKUP($D25,[4]Hoja1!$C$11:$D$27,2,FALSE)*N25)+IF($F25="",0,VLOOKUP($F25,[4]Hoja1!$C$11:$D$27,2,FALSE)*O25)+IF(R25="",0,R25*0.5)</f>
        <v>11.625</v>
      </c>
      <c r="U25" s="19">
        <v>5</v>
      </c>
      <c r="V25" s="19"/>
      <c r="W25" s="102">
        <v>1.5</v>
      </c>
      <c r="X25" s="19"/>
      <c r="Y25" s="19"/>
      <c r="Z25" s="19"/>
      <c r="AA25" s="19"/>
      <c r="AB25" s="19">
        <v>4</v>
      </c>
      <c r="AC25" s="103"/>
      <c r="AD25" s="103">
        <v>0.5</v>
      </c>
      <c r="AE25" s="19">
        <v>1</v>
      </c>
      <c r="AF25" s="104">
        <f>M25*0.5</f>
        <v>6</v>
      </c>
      <c r="AG25" s="29" t="s">
        <v>563</v>
      </c>
      <c r="AH25" s="105">
        <f t="shared" si="13"/>
        <v>29.625</v>
      </c>
      <c r="AI25" s="38"/>
      <c r="AJ25" s="22"/>
      <c r="AK25" s="22"/>
      <c r="AL25" s="104"/>
      <c r="AM25" s="29"/>
      <c r="AN25" s="106">
        <f t="shared" si="18"/>
        <v>0</v>
      </c>
      <c r="AO25" s="39"/>
      <c r="AP25" s="39"/>
      <c r="AQ25" s="107">
        <f t="shared" si="3"/>
        <v>0</v>
      </c>
      <c r="AR25" s="34">
        <f t="shared" si="4"/>
        <v>52.875</v>
      </c>
      <c r="AS25" s="396">
        <f t="shared" si="5"/>
        <v>1.125</v>
      </c>
      <c r="AT25" s="355">
        <v>40.299999999999997</v>
      </c>
      <c r="AU25" s="356">
        <f t="shared" si="6"/>
        <v>18.166666666666668</v>
      </c>
      <c r="AV25" s="386">
        <f t="shared" si="7"/>
        <v>0</v>
      </c>
      <c r="AW25" s="358">
        <f t="shared" si="8"/>
        <v>0</v>
      </c>
      <c r="AX25" s="356">
        <f t="shared" si="9"/>
        <v>22.133333333333329</v>
      </c>
      <c r="AY25" s="359">
        <f t="shared" si="10"/>
        <v>0.45078577336641856</v>
      </c>
      <c r="AZ25" s="360">
        <f t="shared" si="11"/>
        <v>0.54921422663358144</v>
      </c>
      <c r="BA25" s="287">
        <v>2086594</v>
      </c>
      <c r="BB25" s="287">
        <f t="shared" si="12"/>
        <v>38640.629629629628</v>
      </c>
      <c r="BC25" s="9"/>
    </row>
    <row r="26" spans="1:55" ht="15.75" thickBot="1" x14ac:dyDescent="0.3">
      <c r="A26" s="77" t="s">
        <v>1113</v>
      </c>
      <c r="B26" s="77" t="s">
        <v>1114</v>
      </c>
      <c r="C26" s="97" t="s">
        <v>126</v>
      </c>
      <c r="D26" s="281"/>
      <c r="E26" s="278"/>
      <c r="F26" s="275" t="s">
        <v>126</v>
      </c>
      <c r="G26" s="19"/>
      <c r="H26" s="19"/>
      <c r="I26" s="20"/>
      <c r="J26" s="45"/>
      <c r="K26" s="29" t="s">
        <v>349</v>
      </c>
      <c r="L26" s="98">
        <v>6</v>
      </c>
      <c r="M26" s="19"/>
      <c r="N26" s="19"/>
      <c r="O26" s="291">
        <v>2</v>
      </c>
      <c r="P26" s="278"/>
      <c r="Q26" s="293"/>
      <c r="R26" s="99" t="str">
        <f>IF(G26="x",1,"")</f>
        <v/>
      </c>
      <c r="S26" s="100">
        <f t="shared" si="0"/>
        <v>2</v>
      </c>
      <c r="T26" s="101">
        <f>IF($C26="",0,VLOOKUP($C26,[4]Hoja1!$C$11:$D$27,2,FALSE)*M26)+IF($D26="",0,VLOOKUP($D26,[4]Hoja1!$C$11:$D$27,2,FALSE)*N26)+IF($F26="",0,VLOOKUP($F26,[4]Hoja1!$C$11:$D$27,2,FALSE)*O26)+IF(R26="",0,R26*0.5)</f>
        <v>0.6</v>
      </c>
      <c r="U26" s="19" t="s">
        <v>291</v>
      </c>
      <c r="V26" s="19"/>
      <c r="W26" s="102"/>
      <c r="X26" s="19"/>
      <c r="Y26" s="19">
        <v>4</v>
      </c>
      <c r="Z26" s="19"/>
      <c r="AA26" s="19"/>
      <c r="AB26" s="19"/>
      <c r="AC26" s="103"/>
      <c r="AD26" s="103"/>
      <c r="AE26" s="19"/>
      <c r="AF26" s="104"/>
      <c r="AG26" s="29"/>
      <c r="AH26" s="105">
        <f t="shared" si="13"/>
        <v>4.5999999999999996</v>
      </c>
      <c r="AI26" s="38"/>
      <c r="AJ26" s="22"/>
      <c r="AK26" s="22"/>
      <c r="AL26" s="104"/>
      <c r="AM26" s="29"/>
      <c r="AN26" s="106">
        <f>SUM(AI26:AL26)</f>
        <v>0</v>
      </c>
      <c r="AO26" s="39"/>
      <c r="AP26" s="39"/>
      <c r="AQ26" s="107">
        <f t="shared" si="3"/>
        <v>0</v>
      </c>
      <c r="AR26" s="34">
        <f t="shared" si="4"/>
        <v>6.6</v>
      </c>
      <c r="AS26" s="396">
        <f t="shared" si="5"/>
        <v>-0.59999999999999964</v>
      </c>
      <c r="AT26" s="355">
        <v>4.0999999999999996</v>
      </c>
      <c r="AU26" s="356">
        <f t="shared" si="6"/>
        <v>1.3333333333333333</v>
      </c>
      <c r="AV26" s="386">
        <f t="shared" si="7"/>
        <v>0</v>
      </c>
      <c r="AW26" s="358">
        <f t="shared" si="8"/>
        <v>0</v>
      </c>
      <c r="AX26" s="356">
        <f t="shared" si="9"/>
        <v>2.7666666666666666</v>
      </c>
      <c r="AY26" s="387">
        <f t="shared" si="10"/>
        <v>0.32520325203252032</v>
      </c>
      <c r="AZ26" s="388">
        <f t="shared" si="11"/>
        <v>0.67479674796747968</v>
      </c>
      <c r="BA26" s="287">
        <v>379250</v>
      </c>
      <c r="BB26" s="287">
        <f t="shared" si="12"/>
        <v>63208.333333333336</v>
      </c>
      <c r="BC26" s="9"/>
    </row>
    <row r="27" spans="1:55" ht="15.75" thickBot="1" x14ac:dyDescent="0.3">
      <c r="A27" s="77" t="s">
        <v>564</v>
      </c>
      <c r="B27" s="77" t="s">
        <v>565</v>
      </c>
      <c r="C27" s="97" t="s">
        <v>61</v>
      </c>
      <c r="D27" s="281"/>
      <c r="E27" s="278"/>
      <c r="F27" s="296"/>
      <c r="G27" s="19" t="s">
        <v>57</v>
      </c>
      <c r="H27" s="19"/>
      <c r="I27" s="20"/>
      <c r="J27" s="45"/>
      <c r="K27" s="29" t="s">
        <v>290</v>
      </c>
      <c r="L27" s="98">
        <v>54</v>
      </c>
      <c r="M27" s="19">
        <v>18</v>
      </c>
      <c r="N27" s="19"/>
      <c r="O27" s="291"/>
      <c r="P27" s="278"/>
      <c r="Q27" s="293"/>
      <c r="R27" s="99">
        <v>1.25</v>
      </c>
      <c r="S27" s="100">
        <f t="shared" si="0"/>
        <v>19.25</v>
      </c>
      <c r="T27" s="101">
        <f>IF($C27="",0,VLOOKUP($C27,[4]Hoja1!$C$11:$D$27,2,FALSE)*M27)+IF($D27="",0,VLOOKUP($D27,[4]Hoja1!$C$11:$D$27,2,FALSE)*N27)+IF($F27="",0,VLOOKUP($F27,[4]Hoja1!$C$11:$D$27,2,FALSE)*O27)+IF(R27="",0,R27*0.5)</f>
        <v>9.625</v>
      </c>
      <c r="U27" s="19">
        <v>8</v>
      </c>
      <c r="V27" s="19">
        <v>5</v>
      </c>
      <c r="W27" s="102">
        <v>1.5</v>
      </c>
      <c r="X27" s="19">
        <v>3</v>
      </c>
      <c r="Y27" s="19"/>
      <c r="Z27" s="19"/>
      <c r="AA27" s="19"/>
      <c r="AB27" s="19">
        <v>3</v>
      </c>
      <c r="AC27" s="103">
        <v>2</v>
      </c>
      <c r="AD27" s="103"/>
      <c r="AE27" s="19"/>
      <c r="AF27" s="104">
        <v>1</v>
      </c>
      <c r="AG27" s="29" t="s">
        <v>566</v>
      </c>
      <c r="AH27" s="105">
        <f t="shared" si="13"/>
        <v>33.125</v>
      </c>
      <c r="AI27" s="38"/>
      <c r="AJ27" s="22"/>
      <c r="AK27" s="22"/>
      <c r="AL27" s="104"/>
      <c r="AM27" s="29"/>
      <c r="AN27" s="106">
        <f>SUM(AI27:AM27)</f>
        <v>0</v>
      </c>
      <c r="AO27" s="39"/>
      <c r="AP27" s="39"/>
      <c r="AQ27" s="107">
        <f t="shared" si="3"/>
        <v>0</v>
      </c>
      <c r="AR27" s="34">
        <f t="shared" si="4"/>
        <v>52.375</v>
      </c>
      <c r="AS27" s="396">
        <f t="shared" si="5"/>
        <v>1.625</v>
      </c>
      <c r="AT27" s="355">
        <v>40.333333333333336</v>
      </c>
      <c r="AU27" s="356">
        <f t="shared" si="6"/>
        <v>14.833333333333334</v>
      </c>
      <c r="AV27" s="386">
        <f t="shared" si="7"/>
        <v>0</v>
      </c>
      <c r="AW27" s="358">
        <f t="shared" si="8"/>
        <v>0</v>
      </c>
      <c r="AX27" s="356">
        <f t="shared" si="9"/>
        <v>25.5</v>
      </c>
      <c r="AY27" s="359">
        <f t="shared" si="10"/>
        <v>0.36776859504132231</v>
      </c>
      <c r="AZ27" s="360">
        <f t="shared" si="11"/>
        <v>0.63223140495867769</v>
      </c>
      <c r="BA27" s="287">
        <v>2111340</v>
      </c>
      <c r="BB27" s="287">
        <f t="shared" si="12"/>
        <v>39098.888888888891</v>
      </c>
      <c r="BC27" s="9"/>
    </row>
    <row r="28" spans="1:55" ht="15.75" thickBot="1" x14ac:dyDescent="0.3">
      <c r="A28" s="77" t="s">
        <v>567</v>
      </c>
      <c r="B28" s="77" t="s">
        <v>568</v>
      </c>
      <c r="C28" s="97" t="s">
        <v>54</v>
      </c>
      <c r="D28" s="280" t="s">
        <v>56</v>
      </c>
      <c r="E28" s="278"/>
      <c r="F28" s="275" t="s">
        <v>54</v>
      </c>
      <c r="G28" s="19" t="s">
        <v>57</v>
      </c>
      <c r="H28" s="19"/>
      <c r="I28" s="20"/>
      <c r="J28" s="45"/>
      <c r="K28" s="29" t="s">
        <v>318</v>
      </c>
      <c r="L28" s="98">
        <v>54</v>
      </c>
      <c r="M28" s="19">
        <v>10</v>
      </c>
      <c r="N28" s="19"/>
      <c r="O28" s="291">
        <v>6</v>
      </c>
      <c r="P28" s="278"/>
      <c r="Q28" s="293"/>
      <c r="R28" s="99">
        <v>1.25</v>
      </c>
      <c r="S28" s="100">
        <f t="shared" si="0"/>
        <v>17.25</v>
      </c>
      <c r="T28" s="101">
        <f>IF($C28="",0,VLOOKUP($C28,[4]Hoja1!$C$11:$D$27,2,FALSE)*M28)+IF($D28="",0,VLOOKUP($D28,[4]Hoja1!$C$11:$D$27,2,FALSE)*N28)+IF($F28="",0,VLOOKUP($F28,[4]Hoja1!$C$11:$D$27,2,FALSE)*O28)+IF(R28="",0,R28*0.5)</f>
        <v>8.625</v>
      </c>
      <c r="U28" s="19">
        <v>8</v>
      </c>
      <c r="V28" s="19">
        <v>8</v>
      </c>
      <c r="W28" s="102">
        <v>1.5</v>
      </c>
      <c r="X28" s="102">
        <v>1.5</v>
      </c>
      <c r="Y28" s="19"/>
      <c r="Z28" s="19"/>
      <c r="AA28" s="19"/>
      <c r="AB28" s="19">
        <v>3</v>
      </c>
      <c r="AC28" s="103"/>
      <c r="AD28" s="103">
        <v>1.75</v>
      </c>
      <c r="AE28" s="19"/>
      <c r="AF28" s="104"/>
      <c r="AG28" s="29"/>
      <c r="AH28" s="105">
        <f t="shared" si="13"/>
        <v>32.375</v>
      </c>
      <c r="AI28" s="38"/>
      <c r="AJ28" s="22"/>
      <c r="AK28" s="22"/>
      <c r="AL28" s="104"/>
      <c r="AM28" s="29"/>
      <c r="AN28" s="106">
        <f>SUM(AI28:AL28)</f>
        <v>0</v>
      </c>
      <c r="AO28" s="39"/>
      <c r="AP28" s="39"/>
      <c r="AQ28" s="107">
        <f t="shared" si="3"/>
        <v>0</v>
      </c>
      <c r="AR28" s="34">
        <f t="shared" si="4"/>
        <v>49.625</v>
      </c>
      <c r="AS28" s="396">
        <f t="shared" si="5"/>
        <v>4.375</v>
      </c>
      <c r="AT28" s="355">
        <v>40.333333333333336</v>
      </c>
      <c r="AU28" s="356">
        <f t="shared" si="6"/>
        <v>13.5</v>
      </c>
      <c r="AV28" s="386">
        <f t="shared" si="7"/>
        <v>0</v>
      </c>
      <c r="AW28" s="358">
        <f t="shared" si="8"/>
        <v>0</v>
      </c>
      <c r="AX28" s="356">
        <f t="shared" si="9"/>
        <v>26.833333333333336</v>
      </c>
      <c r="AY28" s="359">
        <f t="shared" si="10"/>
        <v>0.33471074380165289</v>
      </c>
      <c r="AZ28" s="360">
        <f t="shared" si="11"/>
        <v>0.66528925619834711</v>
      </c>
      <c r="BA28" s="287">
        <v>2256310</v>
      </c>
      <c r="BB28" s="287">
        <f t="shared" si="12"/>
        <v>41783.518518518518</v>
      </c>
      <c r="BC28" s="9"/>
    </row>
    <row r="29" spans="1:55" ht="15.75" thickBot="1" x14ac:dyDescent="0.3">
      <c r="A29" s="77" t="s">
        <v>569</v>
      </c>
      <c r="B29" s="77" t="s">
        <v>570</v>
      </c>
      <c r="C29" s="97" t="s">
        <v>64</v>
      </c>
      <c r="D29" s="281"/>
      <c r="E29" s="278"/>
      <c r="F29" s="296"/>
      <c r="G29" s="19" t="s">
        <v>57</v>
      </c>
      <c r="H29" s="19"/>
      <c r="I29" s="20"/>
      <c r="J29" s="45"/>
      <c r="K29" s="29" t="s">
        <v>303</v>
      </c>
      <c r="L29" s="98">
        <v>54</v>
      </c>
      <c r="M29" s="19">
        <v>12</v>
      </c>
      <c r="N29" s="19"/>
      <c r="O29" s="291"/>
      <c r="P29" s="278"/>
      <c r="Q29" s="293">
        <v>12</v>
      </c>
      <c r="R29" s="99">
        <v>1.25</v>
      </c>
      <c r="S29" s="100">
        <f t="shared" si="0"/>
        <v>25.25</v>
      </c>
      <c r="T29" s="101">
        <f>IF($C29="",0,VLOOKUP($C29,[4]Hoja1!$C$11:$D$27,2,FALSE)*M29)+IF($D29="",0,VLOOKUP($D29,[4]Hoja1!$C$11:$D$27,2,FALSE)*N29)+IF($F29="",0,VLOOKUP($F29,[4]Hoja1!$C$11:$D$27,2,FALSE)*O29)+IF(R29="",0,R29*0.5)</f>
        <v>6.625</v>
      </c>
      <c r="U29" s="19">
        <v>5</v>
      </c>
      <c r="V29" s="19"/>
      <c r="W29" s="102">
        <v>1.5</v>
      </c>
      <c r="X29" s="102">
        <v>1.5</v>
      </c>
      <c r="Y29" s="19"/>
      <c r="Z29" s="19"/>
      <c r="AA29" s="19"/>
      <c r="AB29" s="19"/>
      <c r="AC29" s="103">
        <v>1</v>
      </c>
      <c r="AD29" s="103">
        <v>0.5</v>
      </c>
      <c r="AE29" s="19">
        <v>0.5</v>
      </c>
      <c r="AF29" s="104">
        <f>M29*0.5+4</f>
        <v>10</v>
      </c>
      <c r="AG29" s="29" t="s">
        <v>550</v>
      </c>
      <c r="AH29" s="105">
        <f t="shared" si="13"/>
        <v>26.625</v>
      </c>
      <c r="AI29" s="38"/>
      <c r="AJ29" s="22"/>
      <c r="AK29" s="22"/>
      <c r="AL29" s="104"/>
      <c r="AM29" s="29"/>
      <c r="AN29" s="106">
        <f>SUM(AI29:AM29)</f>
        <v>0</v>
      </c>
      <c r="AO29" s="39"/>
      <c r="AP29" s="39"/>
      <c r="AQ29" s="107">
        <f t="shared" si="3"/>
        <v>0</v>
      </c>
      <c r="AR29" s="34">
        <f t="shared" si="4"/>
        <v>51.875</v>
      </c>
      <c r="AS29" s="396">
        <f t="shared" si="5"/>
        <v>2.125</v>
      </c>
      <c r="AT29" s="355">
        <v>40.4</v>
      </c>
      <c r="AU29" s="356">
        <f t="shared" si="6"/>
        <v>16.833333333333332</v>
      </c>
      <c r="AV29" s="386">
        <f t="shared" si="7"/>
        <v>0</v>
      </c>
      <c r="AW29" s="358">
        <f t="shared" si="8"/>
        <v>0</v>
      </c>
      <c r="AX29" s="356">
        <f t="shared" si="9"/>
        <v>23.566666666666666</v>
      </c>
      <c r="AY29" s="359">
        <f t="shared" si="10"/>
        <v>0.41666666666666663</v>
      </c>
      <c r="AZ29" s="360">
        <f t="shared" si="11"/>
        <v>0.58333333333333337</v>
      </c>
      <c r="BA29" s="287">
        <v>2276486</v>
      </c>
      <c r="BB29" s="287">
        <f t="shared" si="12"/>
        <v>42157.148148148146</v>
      </c>
      <c r="BC29" s="9"/>
    </row>
    <row r="30" spans="1:55" ht="15.75" thickBot="1" x14ac:dyDescent="0.3">
      <c r="A30" s="77" t="s">
        <v>571</v>
      </c>
      <c r="B30" s="77" t="s">
        <v>572</v>
      </c>
      <c r="C30" s="97" t="s">
        <v>55</v>
      </c>
      <c r="D30" s="281"/>
      <c r="E30" s="278"/>
      <c r="F30" s="296"/>
      <c r="G30" s="19" t="s">
        <v>57</v>
      </c>
      <c r="H30" s="19"/>
      <c r="I30" s="20" t="s">
        <v>57</v>
      </c>
      <c r="J30" s="45" t="s">
        <v>155</v>
      </c>
      <c r="K30" s="29" t="s">
        <v>349</v>
      </c>
      <c r="L30" s="98">
        <v>54</v>
      </c>
      <c r="M30" s="19">
        <v>12</v>
      </c>
      <c r="N30" s="19"/>
      <c r="O30" s="291"/>
      <c r="P30" s="278"/>
      <c r="Q30" s="293"/>
      <c r="R30" s="99">
        <v>1.25</v>
      </c>
      <c r="S30" s="100">
        <f t="shared" si="0"/>
        <v>13.25</v>
      </c>
      <c r="T30" s="101">
        <f>IF($C30="",0,VLOOKUP($C30,[4]Hoja1!$C$11:$D$27,2,FALSE)*M30)+IF($D30="",0,VLOOKUP($D30,[4]Hoja1!$C$11:$D$27,2,FALSE)*N30)+IF($F30="",0,VLOOKUP($F30,[4]Hoja1!$C$11:$D$27,2,FALSE)*O30)+IF(R30="",0,R30*0.5)</f>
        <v>7.8249999999999993</v>
      </c>
      <c r="U30" s="19">
        <v>8</v>
      </c>
      <c r="V30" s="19">
        <v>8</v>
      </c>
      <c r="W30" s="102">
        <v>1.5</v>
      </c>
      <c r="X30" s="19"/>
      <c r="Y30" s="19"/>
      <c r="Z30" s="19"/>
      <c r="AA30" s="19"/>
      <c r="AB30" s="19">
        <v>3</v>
      </c>
      <c r="AC30" s="103"/>
      <c r="AD30" s="103">
        <v>2</v>
      </c>
      <c r="AE30" s="19"/>
      <c r="AF30" s="104"/>
      <c r="AG30" s="29"/>
      <c r="AH30" s="105">
        <f t="shared" si="13"/>
        <v>30.324999999999999</v>
      </c>
      <c r="AI30" s="38">
        <v>15</v>
      </c>
      <c r="AJ30" s="22"/>
      <c r="AK30" s="22"/>
      <c r="AL30" s="104"/>
      <c r="AM30" s="29"/>
      <c r="AN30" s="106">
        <f>SUM(AI30:AL30)</f>
        <v>15</v>
      </c>
      <c r="AO30" s="39"/>
      <c r="AP30" s="39"/>
      <c r="AQ30" s="107">
        <f t="shared" si="3"/>
        <v>0</v>
      </c>
      <c r="AR30" s="34">
        <f t="shared" si="4"/>
        <v>58.575000000000003</v>
      </c>
      <c r="AS30" s="396">
        <f t="shared" si="5"/>
        <v>-4.5750000000000028</v>
      </c>
      <c r="AT30" s="355">
        <v>40.200000000000003</v>
      </c>
      <c r="AU30" s="356">
        <f t="shared" si="6"/>
        <v>10.833333333333334</v>
      </c>
      <c r="AV30" s="386">
        <f t="shared" si="7"/>
        <v>10</v>
      </c>
      <c r="AW30" s="358">
        <f t="shared" si="8"/>
        <v>0</v>
      </c>
      <c r="AX30" s="356">
        <f t="shared" si="9"/>
        <v>19.366666666666667</v>
      </c>
      <c r="AY30" s="359">
        <f t="shared" si="10"/>
        <v>0.358719646799117</v>
      </c>
      <c r="AZ30" s="360">
        <f t="shared" si="11"/>
        <v>0.64128035320088295</v>
      </c>
      <c r="BA30" s="287">
        <v>2694677</v>
      </c>
      <c r="BB30" s="287">
        <f t="shared" si="12"/>
        <v>49901.425925925927</v>
      </c>
      <c r="BC30" s="9"/>
    </row>
    <row r="31" spans="1:55" ht="15.75" thickBot="1" x14ac:dyDescent="0.3">
      <c r="A31" s="77" t="s">
        <v>573</v>
      </c>
      <c r="B31" s="108" t="s">
        <v>574</v>
      </c>
      <c r="C31" s="97" t="s">
        <v>114</v>
      </c>
      <c r="D31" s="281"/>
      <c r="E31" s="278"/>
      <c r="F31" s="296"/>
      <c r="G31" s="19" t="s">
        <v>57</v>
      </c>
      <c r="H31" s="19"/>
      <c r="I31" s="20"/>
      <c r="J31" s="45"/>
      <c r="K31" s="29" t="s">
        <v>429</v>
      </c>
      <c r="L31" s="98">
        <v>54</v>
      </c>
      <c r="M31" s="19">
        <v>20</v>
      </c>
      <c r="N31" s="19"/>
      <c r="O31" s="291"/>
      <c r="P31" s="278"/>
      <c r="Q31" s="293">
        <v>4</v>
      </c>
      <c r="R31" s="99">
        <v>1.25</v>
      </c>
      <c r="S31" s="100">
        <f t="shared" si="0"/>
        <v>25.25</v>
      </c>
      <c r="T31" s="101">
        <f>IF($C31="",0,VLOOKUP($C31,[4]Hoja1!$C$11:$D$27,2,FALSE)*M31)+IF($D31="",0,VLOOKUP($D31,[4]Hoja1!$C$11:$D$27,2,FALSE)*N31)+IF($F31="",0,VLOOKUP($F31,[4]Hoja1!$C$11:$D$27,2,FALSE)*O31)+IF(R31="",0,R31*0.5)</f>
        <v>10.625</v>
      </c>
      <c r="U31" s="19">
        <v>5</v>
      </c>
      <c r="V31" s="19"/>
      <c r="W31" s="102">
        <v>1.5</v>
      </c>
      <c r="X31" s="102">
        <v>1.5</v>
      </c>
      <c r="Y31" s="19"/>
      <c r="Z31" s="19"/>
      <c r="AA31" s="19"/>
      <c r="AB31" s="19">
        <v>3</v>
      </c>
      <c r="AC31" s="103">
        <v>1</v>
      </c>
      <c r="AD31" s="103">
        <v>0.75</v>
      </c>
      <c r="AE31" s="19"/>
      <c r="AF31" s="104">
        <f>M31*0.5+3</f>
        <v>13</v>
      </c>
      <c r="AG31" s="29" t="s">
        <v>550</v>
      </c>
      <c r="AH31" s="105">
        <f t="shared" si="13"/>
        <v>36.375</v>
      </c>
      <c r="AI31" s="38"/>
      <c r="AJ31" s="22"/>
      <c r="AK31" s="22"/>
      <c r="AL31" s="104"/>
      <c r="AM31" s="29"/>
      <c r="AN31" s="106">
        <f>SUM(AI31:AM31)</f>
        <v>0</v>
      </c>
      <c r="AO31" s="39"/>
      <c r="AP31" s="39"/>
      <c r="AQ31" s="107">
        <f t="shared" si="3"/>
        <v>0</v>
      </c>
      <c r="AR31" s="34">
        <f t="shared" si="4"/>
        <v>61.625</v>
      </c>
      <c r="AS31" s="396">
        <f t="shared" si="5"/>
        <v>-7.625</v>
      </c>
      <c r="AT31" s="355">
        <v>40.4</v>
      </c>
      <c r="AU31" s="356">
        <f t="shared" si="6"/>
        <v>18.833333333333332</v>
      </c>
      <c r="AV31" s="386">
        <f t="shared" si="7"/>
        <v>0</v>
      </c>
      <c r="AW31" s="358">
        <f t="shared" si="8"/>
        <v>0</v>
      </c>
      <c r="AX31" s="356">
        <f t="shared" si="9"/>
        <v>21.566666666666666</v>
      </c>
      <c r="AY31" s="359">
        <f t="shared" si="10"/>
        <v>0.46617161716171618</v>
      </c>
      <c r="AZ31" s="360">
        <f t="shared" si="11"/>
        <v>0.53382838283828382</v>
      </c>
      <c r="BA31" s="287">
        <v>2061749</v>
      </c>
      <c r="BB31" s="287">
        <f t="shared" si="12"/>
        <v>38180.537037037036</v>
      </c>
      <c r="BC31" s="9"/>
    </row>
    <row r="32" spans="1:55" ht="15.75" thickBot="1" x14ac:dyDescent="0.3">
      <c r="A32" s="77" t="s">
        <v>1115</v>
      </c>
      <c r="B32" s="77" t="s">
        <v>1116</v>
      </c>
      <c r="C32" s="97" t="s">
        <v>627</v>
      </c>
      <c r="D32" s="281"/>
      <c r="E32" s="278"/>
      <c r="F32" s="275" t="s">
        <v>627</v>
      </c>
      <c r="G32" s="19"/>
      <c r="H32" s="19"/>
      <c r="I32" s="20"/>
      <c r="J32" s="45"/>
      <c r="K32" s="29" t="s">
        <v>318</v>
      </c>
      <c r="L32" s="98">
        <v>54</v>
      </c>
      <c r="M32" s="19">
        <v>14</v>
      </c>
      <c r="N32" s="19"/>
      <c r="O32" s="291">
        <v>10</v>
      </c>
      <c r="P32" s="278"/>
      <c r="Q32" s="293"/>
      <c r="R32" s="99" t="str">
        <f>IF(G32="x",1,"")</f>
        <v/>
      </c>
      <c r="S32" s="100">
        <f t="shared" si="0"/>
        <v>24</v>
      </c>
      <c r="T32" s="101">
        <f>IF($C32="",0,VLOOKUP($C32,[4]Hoja1!$C$11:$D$27,2,FALSE)*M32)+IF($D32="",0,VLOOKUP($D32,[4]Hoja1!$C$11:$D$27,2,FALSE)*N32)+IF($F32="",0,VLOOKUP($F32,[4]Hoja1!$C$11:$D$27,2,FALSE)*O32)+IF(R32="",0,R32*0.5)</f>
        <v>12</v>
      </c>
      <c r="U32" s="19" t="s">
        <v>291</v>
      </c>
      <c r="V32" s="19"/>
      <c r="W32" s="102">
        <v>1.5</v>
      </c>
      <c r="X32" s="19"/>
      <c r="Y32" s="19"/>
      <c r="Z32" s="19"/>
      <c r="AA32" s="19"/>
      <c r="AB32" s="19">
        <v>1</v>
      </c>
      <c r="AC32" s="103"/>
      <c r="AD32" s="103">
        <v>1.75</v>
      </c>
      <c r="AE32" s="19"/>
      <c r="AF32" s="104">
        <v>4</v>
      </c>
      <c r="AG32" s="29" t="s">
        <v>555</v>
      </c>
      <c r="AH32" s="105">
        <f t="shared" si="13"/>
        <v>20.25</v>
      </c>
      <c r="AI32" s="38"/>
      <c r="AJ32" s="22"/>
      <c r="AK32" s="22"/>
      <c r="AL32" s="104"/>
      <c r="AM32" s="29"/>
      <c r="AN32" s="106">
        <f t="shared" ref="AN32:AN34" si="19">SUM(AI32:AL32)</f>
        <v>0</v>
      </c>
      <c r="AO32" s="39"/>
      <c r="AP32" s="39"/>
      <c r="AQ32" s="107">
        <f t="shared" si="3"/>
        <v>0</v>
      </c>
      <c r="AR32" s="34">
        <f t="shared" si="4"/>
        <v>44.25</v>
      </c>
      <c r="AS32" s="396">
        <f t="shared" si="5"/>
        <v>9.75</v>
      </c>
      <c r="AT32" s="355">
        <v>40.4</v>
      </c>
      <c r="AU32" s="356">
        <f t="shared" si="6"/>
        <v>16.666666666666668</v>
      </c>
      <c r="AV32" s="386">
        <f t="shared" si="7"/>
        <v>0</v>
      </c>
      <c r="AW32" s="358">
        <f t="shared" si="8"/>
        <v>0</v>
      </c>
      <c r="AX32" s="356">
        <f t="shared" si="9"/>
        <v>23.733333333333331</v>
      </c>
      <c r="AY32" s="387">
        <f t="shared" si="10"/>
        <v>0.41254125412541259</v>
      </c>
      <c r="AZ32" s="388">
        <f t="shared" si="11"/>
        <v>0.58745874587458746</v>
      </c>
      <c r="BA32" s="287">
        <v>2050000</v>
      </c>
      <c r="BB32" s="287">
        <f t="shared" si="12"/>
        <v>37962.962962962964</v>
      </c>
      <c r="BC32" s="9"/>
    </row>
    <row r="33" spans="1:55" ht="15.75" thickBot="1" x14ac:dyDescent="0.3">
      <c r="A33" s="77" t="s">
        <v>1117</v>
      </c>
      <c r="B33" s="77" t="s">
        <v>1118</v>
      </c>
      <c r="C33" s="97" t="s">
        <v>126</v>
      </c>
      <c r="D33" s="281"/>
      <c r="E33" s="278"/>
      <c r="F33" s="296"/>
      <c r="G33" s="19"/>
      <c r="H33" s="19"/>
      <c r="I33" s="20"/>
      <c r="J33" s="45"/>
      <c r="K33" s="29" t="s">
        <v>309</v>
      </c>
      <c r="L33" s="98">
        <v>27</v>
      </c>
      <c r="M33" s="19">
        <v>10</v>
      </c>
      <c r="N33" s="19"/>
      <c r="O33" s="291"/>
      <c r="P33" s="278"/>
      <c r="Q33" s="293"/>
      <c r="R33" s="99" t="str">
        <f>IF(G33="x",1,"")</f>
        <v/>
      </c>
      <c r="S33" s="100">
        <f t="shared" si="0"/>
        <v>10</v>
      </c>
      <c r="T33" s="101">
        <f>IF($C33="",0,VLOOKUP($C33,[4]Hoja1!$C$11:$D$27,2,FALSE)*M33)+IF($D33="",0,VLOOKUP($D33,[4]Hoja1!$C$11:$D$27,2,FALSE)*N33)+IF($F33="",0,VLOOKUP($F33,[4]Hoja1!$C$11:$D$27,2,FALSE)*O33)+IF(R33="",0,R33*0.5)</f>
        <v>3</v>
      </c>
      <c r="U33" s="19" t="s">
        <v>291</v>
      </c>
      <c r="V33" s="19"/>
      <c r="W33" s="102"/>
      <c r="X33" s="19"/>
      <c r="Y33" s="19">
        <v>8</v>
      </c>
      <c r="Z33" s="19"/>
      <c r="AA33" s="19"/>
      <c r="AB33" s="19">
        <v>1</v>
      </c>
      <c r="AC33" s="103"/>
      <c r="AD33" s="103"/>
      <c r="AE33" s="19"/>
      <c r="AF33" s="104">
        <v>0.5</v>
      </c>
      <c r="AG33" s="29" t="s">
        <v>577</v>
      </c>
      <c r="AH33" s="105">
        <f t="shared" si="13"/>
        <v>12.5</v>
      </c>
      <c r="AI33" s="38"/>
      <c r="AJ33" s="22"/>
      <c r="AK33" s="22"/>
      <c r="AL33" s="104"/>
      <c r="AM33" s="29"/>
      <c r="AN33" s="106">
        <f t="shared" si="19"/>
        <v>0</v>
      </c>
      <c r="AO33" s="39"/>
      <c r="AP33" s="39"/>
      <c r="AQ33" s="107">
        <f t="shared" si="3"/>
        <v>0</v>
      </c>
      <c r="AR33" s="34">
        <f t="shared" si="4"/>
        <v>22.5</v>
      </c>
      <c r="AS33" s="396">
        <f t="shared" si="5"/>
        <v>4.5</v>
      </c>
      <c r="AT33" s="355">
        <v>19.316666666666666</v>
      </c>
      <c r="AU33" s="356">
        <f t="shared" si="6"/>
        <v>7.333333333333333</v>
      </c>
      <c r="AV33" s="386">
        <f t="shared" si="7"/>
        <v>0</v>
      </c>
      <c r="AW33" s="358">
        <f t="shared" si="8"/>
        <v>0</v>
      </c>
      <c r="AX33" s="356">
        <f t="shared" si="9"/>
        <v>11.983333333333334</v>
      </c>
      <c r="AY33" s="387">
        <f t="shared" si="10"/>
        <v>0.37963761863675582</v>
      </c>
      <c r="AZ33" s="388">
        <f t="shared" si="11"/>
        <v>0.62036238136324429</v>
      </c>
      <c r="BA33" s="287">
        <v>1025000</v>
      </c>
      <c r="BB33" s="287">
        <f t="shared" si="12"/>
        <v>37962.962962962964</v>
      </c>
      <c r="BC33" s="9"/>
    </row>
    <row r="34" spans="1:55" ht="15.75" thickBot="1" x14ac:dyDescent="0.3">
      <c r="A34" s="77" t="s">
        <v>575</v>
      </c>
      <c r="B34" s="108" t="s">
        <v>576</v>
      </c>
      <c r="C34" s="97" t="s">
        <v>295</v>
      </c>
      <c r="D34" s="281"/>
      <c r="E34" s="278"/>
      <c r="F34" s="275" t="s">
        <v>295</v>
      </c>
      <c r="G34" s="19" t="s">
        <v>57</v>
      </c>
      <c r="H34" s="19" t="s">
        <v>57</v>
      </c>
      <c r="I34" s="20"/>
      <c r="J34" s="45"/>
      <c r="K34" s="29" t="s">
        <v>349</v>
      </c>
      <c r="L34" s="98">
        <v>54</v>
      </c>
      <c r="M34" s="19">
        <v>8</v>
      </c>
      <c r="N34" s="19"/>
      <c r="O34" s="291">
        <v>8</v>
      </c>
      <c r="P34" s="278"/>
      <c r="Q34" s="293"/>
      <c r="R34" s="99">
        <v>1.25</v>
      </c>
      <c r="S34" s="100">
        <f t="shared" si="0"/>
        <v>17.25</v>
      </c>
      <c r="T34" s="101">
        <f>IF($C34="",0,VLOOKUP($C34,[4]Hoja1!$C$11:$D$27,2,FALSE)*M34)+IF($D34="",0,VLOOKUP($D34,[4]Hoja1!$C$11:$D$27,2,FALSE)*N34)+IF($F34="",0,VLOOKUP($F34,[4]Hoja1!$C$11:$D$27,2,FALSE)*O34)+IF(R34="",0,R34*0.5)</f>
        <v>8.625</v>
      </c>
      <c r="U34" s="19">
        <v>8</v>
      </c>
      <c r="V34" s="19">
        <v>8</v>
      </c>
      <c r="W34" s="102">
        <v>1.5</v>
      </c>
      <c r="X34" s="19"/>
      <c r="Y34" s="19"/>
      <c r="Z34" s="19"/>
      <c r="AA34" s="19"/>
      <c r="AB34" s="19">
        <v>3</v>
      </c>
      <c r="AC34" s="103">
        <v>1</v>
      </c>
      <c r="AD34" s="103">
        <v>1</v>
      </c>
      <c r="AE34" s="19"/>
      <c r="AF34" s="104">
        <v>0.5</v>
      </c>
      <c r="AG34" s="29" t="s">
        <v>577</v>
      </c>
      <c r="AH34" s="105">
        <f t="shared" si="13"/>
        <v>31.625</v>
      </c>
      <c r="AI34" s="38"/>
      <c r="AJ34" s="22">
        <v>9</v>
      </c>
      <c r="AK34" s="22"/>
      <c r="AL34" s="104"/>
      <c r="AM34" s="29"/>
      <c r="AN34" s="106">
        <f t="shared" si="19"/>
        <v>9</v>
      </c>
      <c r="AO34" s="39"/>
      <c r="AP34" s="39"/>
      <c r="AQ34" s="107">
        <f t="shared" si="3"/>
        <v>0</v>
      </c>
      <c r="AR34" s="34">
        <f t="shared" si="4"/>
        <v>57.875</v>
      </c>
      <c r="AS34" s="396">
        <f t="shared" si="5"/>
        <v>-3.875</v>
      </c>
      <c r="AT34" s="355">
        <v>40.266666666666666</v>
      </c>
      <c r="AU34" s="356">
        <f t="shared" si="6"/>
        <v>13.5</v>
      </c>
      <c r="AV34" s="386">
        <f t="shared" si="7"/>
        <v>6</v>
      </c>
      <c r="AW34" s="358">
        <f t="shared" si="8"/>
        <v>0</v>
      </c>
      <c r="AX34" s="356">
        <f t="shared" si="9"/>
        <v>20.766666666666666</v>
      </c>
      <c r="AY34" s="359">
        <f t="shared" si="10"/>
        <v>0.39396887159533073</v>
      </c>
      <c r="AZ34" s="360">
        <f t="shared" si="11"/>
        <v>0.60603112840466922</v>
      </c>
      <c r="BA34" s="287">
        <v>3533665</v>
      </c>
      <c r="BB34" s="287">
        <f t="shared" si="12"/>
        <v>65438.240740740737</v>
      </c>
      <c r="BC34" s="9"/>
    </row>
    <row r="35" spans="1:55" ht="15.75" thickBot="1" x14ac:dyDescent="0.3">
      <c r="A35" s="77" t="s">
        <v>1119</v>
      </c>
      <c r="B35" s="77" t="s">
        <v>1120</v>
      </c>
      <c r="C35" s="97" t="s">
        <v>55</v>
      </c>
      <c r="D35" s="281"/>
      <c r="E35" s="278"/>
      <c r="F35" s="296"/>
      <c r="G35" s="19"/>
      <c r="H35" s="19"/>
      <c r="I35" s="20"/>
      <c r="J35" s="45"/>
      <c r="K35" s="29" t="s">
        <v>318</v>
      </c>
      <c r="L35" s="98">
        <v>44</v>
      </c>
      <c r="M35" s="19">
        <v>24</v>
      </c>
      <c r="N35" s="19"/>
      <c r="O35" s="291"/>
      <c r="P35" s="278"/>
      <c r="Q35" s="293"/>
      <c r="R35" s="99" t="str">
        <f>IF(G35="x",1,"")</f>
        <v/>
      </c>
      <c r="S35" s="100">
        <f t="shared" si="0"/>
        <v>24</v>
      </c>
      <c r="T35" s="101">
        <f>IF($C35="",0,VLOOKUP($C35,[4]Hoja1!$C$11:$D$27,2,FALSE)*M35)+IF($D35="",0,VLOOKUP($D35,[4]Hoja1!$C$11:$D$27,2,FALSE)*N35)+IF($F35="",0,VLOOKUP($F35,[4]Hoja1!$C$11:$D$27,2,FALSE)*O35)+IF(R35="",0,R35*0.5)</f>
        <v>14.399999999999999</v>
      </c>
      <c r="U35" s="19" t="s">
        <v>291</v>
      </c>
      <c r="V35" s="19"/>
      <c r="W35" s="102">
        <v>1.5</v>
      </c>
      <c r="X35" s="19"/>
      <c r="Y35" s="19"/>
      <c r="Z35" s="19"/>
      <c r="AA35" s="19"/>
      <c r="AB35" s="19">
        <v>2</v>
      </c>
      <c r="AC35" s="103"/>
      <c r="AD35" s="103"/>
      <c r="AE35" s="19"/>
      <c r="AF35" s="104"/>
      <c r="AG35" s="29" t="s">
        <v>1121</v>
      </c>
      <c r="AH35" s="105">
        <f t="shared" si="13"/>
        <v>17.899999999999999</v>
      </c>
      <c r="AI35" s="38"/>
      <c r="AJ35" s="22"/>
      <c r="AK35" s="22"/>
      <c r="AL35" s="104"/>
      <c r="AM35" s="29"/>
      <c r="AN35" s="106">
        <f>SUM(AI35:AM35)</f>
        <v>0</v>
      </c>
      <c r="AO35" s="39"/>
      <c r="AP35" s="39"/>
      <c r="AQ35" s="107">
        <f t="shared" si="3"/>
        <v>0</v>
      </c>
      <c r="AR35" s="34">
        <f t="shared" si="4"/>
        <v>41.9</v>
      </c>
      <c r="AS35" s="396">
        <f t="shared" si="5"/>
        <v>2.1000000000000014</v>
      </c>
      <c r="AT35" s="355">
        <v>30</v>
      </c>
      <c r="AU35" s="356">
        <f t="shared" si="6"/>
        <v>17.333333333333332</v>
      </c>
      <c r="AV35" s="386">
        <f t="shared" si="7"/>
        <v>0</v>
      </c>
      <c r="AW35" s="358">
        <f t="shared" si="8"/>
        <v>0</v>
      </c>
      <c r="AX35" s="356">
        <f t="shared" si="9"/>
        <v>12.666666666666668</v>
      </c>
      <c r="AY35" s="387">
        <f t="shared" si="10"/>
        <v>0.57777777777777772</v>
      </c>
      <c r="AZ35" s="388">
        <f t="shared" si="11"/>
        <v>0.42222222222222228</v>
      </c>
      <c r="BA35" s="287">
        <v>1125000</v>
      </c>
      <c r="BB35" s="287">
        <f t="shared" si="12"/>
        <v>25568.18181818182</v>
      </c>
      <c r="BC35" s="9"/>
    </row>
    <row r="36" spans="1:55" ht="15.75" thickBot="1" x14ac:dyDescent="0.3">
      <c r="A36" s="77" t="s">
        <v>1122</v>
      </c>
      <c r="B36" s="77" t="s">
        <v>1123</v>
      </c>
      <c r="C36" s="97" t="s">
        <v>126</v>
      </c>
      <c r="D36" s="281"/>
      <c r="E36" s="278"/>
      <c r="F36" s="296"/>
      <c r="G36" s="19"/>
      <c r="H36" s="19"/>
      <c r="I36" s="20"/>
      <c r="J36" s="45"/>
      <c r="K36" s="29" t="s">
        <v>309</v>
      </c>
      <c r="L36" s="98">
        <v>54</v>
      </c>
      <c r="M36" s="19">
        <v>17</v>
      </c>
      <c r="N36" s="19"/>
      <c r="O36" s="291">
        <v>2</v>
      </c>
      <c r="P36" s="278"/>
      <c r="Q36" s="293"/>
      <c r="R36" s="99" t="str">
        <f>IF(G36="x",1,"")</f>
        <v/>
      </c>
      <c r="S36" s="100">
        <f t="shared" ref="S36:S67" si="20">SUM(M36:R36)</f>
        <v>19</v>
      </c>
      <c r="T36" s="101">
        <f>IF($C36="",0,VLOOKUP($C36,[4]Hoja1!$C$11:$D$27,2,FALSE)*M36)+IF($D36="",0,VLOOKUP($D36,[4]Hoja1!$C$11:$D$27,2,FALSE)*N36)+IF($F36="",0,VLOOKUP($F36,[4]Hoja1!$C$11:$D$27,2,FALSE)*O36)+IF(R36="",0,R36*0.5)</f>
        <v>5.0999999999999996</v>
      </c>
      <c r="U36" s="19" t="s">
        <v>291</v>
      </c>
      <c r="V36" s="19"/>
      <c r="W36" s="102"/>
      <c r="X36" s="19"/>
      <c r="Y36" s="19">
        <v>8</v>
      </c>
      <c r="Z36" s="19"/>
      <c r="AA36" s="19"/>
      <c r="AB36" s="19">
        <v>1</v>
      </c>
      <c r="AC36" s="103"/>
      <c r="AD36" s="103">
        <v>1</v>
      </c>
      <c r="AE36" s="19"/>
      <c r="AF36" s="104">
        <v>0.5</v>
      </c>
      <c r="AG36" s="29" t="s">
        <v>577</v>
      </c>
      <c r="AH36" s="105">
        <f t="shared" si="13"/>
        <v>15.6</v>
      </c>
      <c r="AI36" s="38"/>
      <c r="AJ36" s="22"/>
      <c r="AK36" s="22"/>
      <c r="AL36" s="104"/>
      <c r="AM36" s="29"/>
      <c r="AN36" s="106">
        <f t="shared" ref="AN36:AN37" si="21">SUM(AI36:AL36)</f>
        <v>0</v>
      </c>
      <c r="AO36" s="39"/>
      <c r="AP36" s="39"/>
      <c r="AQ36" s="107">
        <f t="shared" si="3"/>
        <v>0</v>
      </c>
      <c r="AR36" s="34">
        <f t="shared" ref="AR36:AR67" si="22">+S36+AH36+AN36+AQ36</f>
        <v>34.6</v>
      </c>
      <c r="AS36" s="396">
        <f t="shared" ref="AS36:AS67" si="23">+L36-AR36</f>
        <v>19.399999999999999</v>
      </c>
      <c r="AT36" s="355">
        <v>40.299999999999997</v>
      </c>
      <c r="AU36" s="356">
        <f t="shared" ref="AU36:AU69" si="24">+(S36+AB36)*40/60</f>
        <v>13.333333333333334</v>
      </c>
      <c r="AV36" s="386">
        <f t="shared" ref="AV36:AV69" si="25">+AN36*40/60</f>
        <v>0</v>
      </c>
      <c r="AW36" s="358">
        <f t="shared" ref="AW36:AW69" si="26">+AQ36*0.666666666666667</f>
        <v>0</v>
      </c>
      <c r="AX36" s="356">
        <f t="shared" si="9"/>
        <v>26.966666666666661</v>
      </c>
      <c r="AY36" s="387">
        <f t="shared" si="10"/>
        <v>0.33085194375516958</v>
      </c>
      <c r="AZ36" s="388">
        <f t="shared" si="11"/>
        <v>0.66914805624483031</v>
      </c>
      <c r="BA36" s="287">
        <v>3000000</v>
      </c>
      <c r="BB36" s="287">
        <f t="shared" si="12"/>
        <v>55555.555555555555</v>
      </c>
      <c r="BC36" s="9"/>
    </row>
    <row r="37" spans="1:55" ht="15.75" thickBot="1" x14ac:dyDescent="0.3">
      <c r="A37" s="77" t="s">
        <v>1124</v>
      </c>
      <c r="B37" s="77" t="s">
        <v>1125</v>
      </c>
      <c r="C37" s="97" t="s">
        <v>126</v>
      </c>
      <c r="D37" s="281"/>
      <c r="E37" s="278"/>
      <c r="F37" s="275" t="s">
        <v>126</v>
      </c>
      <c r="G37" s="19"/>
      <c r="H37" s="19"/>
      <c r="I37" s="20"/>
      <c r="J37" s="45"/>
      <c r="K37" s="29" t="s">
        <v>309</v>
      </c>
      <c r="L37" s="98">
        <v>54</v>
      </c>
      <c r="M37" s="19">
        <v>18</v>
      </c>
      <c r="N37" s="19"/>
      <c r="O37" s="291">
        <v>2</v>
      </c>
      <c r="P37" s="278"/>
      <c r="Q37" s="293"/>
      <c r="R37" s="99" t="str">
        <f>IF(G37="x",1,"")</f>
        <v/>
      </c>
      <c r="S37" s="100">
        <f t="shared" si="20"/>
        <v>20</v>
      </c>
      <c r="T37" s="101">
        <f>IF($C37="",0,VLOOKUP($C37,[4]Hoja1!$C$11:$D$27,2,FALSE)*M37)+IF($D37="",0,VLOOKUP($D37,[4]Hoja1!$C$11:$D$27,2,FALSE)*N37)+IF($F37="",0,VLOOKUP($F37,[4]Hoja1!$C$11:$D$27,2,FALSE)*O37)+IF(R37="",0,R37*0.5)</f>
        <v>5.9999999999999991</v>
      </c>
      <c r="U37" s="19" t="s">
        <v>291</v>
      </c>
      <c r="V37" s="19"/>
      <c r="W37" s="102"/>
      <c r="X37" s="19"/>
      <c r="Y37" s="19">
        <v>8</v>
      </c>
      <c r="Z37" s="19"/>
      <c r="AA37" s="19"/>
      <c r="AB37" s="19">
        <v>1</v>
      </c>
      <c r="AC37" s="103"/>
      <c r="AD37" s="103">
        <v>1</v>
      </c>
      <c r="AE37" s="19"/>
      <c r="AF37" s="104">
        <v>0.5</v>
      </c>
      <c r="AG37" s="29" t="s">
        <v>577</v>
      </c>
      <c r="AH37" s="105">
        <f t="shared" si="13"/>
        <v>16.5</v>
      </c>
      <c r="AI37" s="38"/>
      <c r="AJ37" s="22"/>
      <c r="AK37" s="22"/>
      <c r="AL37" s="104"/>
      <c r="AM37" s="29"/>
      <c r="AN37" s="106">
        <f t="shared" si="21"/>
        <v>0</v>
      </c>
      <c r="AO37" s="39"/>
      <c r="AP37" s="39"/>
      <c r="AQ37" s="107">
        <f t="shared" si="3"/>
        <v>0</v>
      </c>
      <c r="AR37" s="34">
        <f t="shared" si="22"/>
        <v>36.5</v>
      </c>
      <c r="AS37" s="396">
        <f t="shared" si="23"/>
        <v>17.5</v>
      </c>
      <c r="AT37" s="355">
        <v>38.466666666666669</v>
      </c>
      <c r="AU37" s="356">
        <f t="shared" si="24"/>
        <v>14</v>
      </c>
      <c r="AV37" s="386">
        <f t="shared" si="25"/>
        <v>0</v>
      </c>
      <c r="AW37" s="358">
        <f t="shared" si="26"/>
        <v>0</v>
      </c>
      <c r="AX37" s="356">
        <f t="shared" si="9"/>
        <v>24.466666666666669</v>
      </c>
      <c r="AY37" s="387">
        <f t="shared" si="10"/>
        <v>0.36395147313691506</v>
      </c>
      <c r="AZ37" s="388">
        <f t="shared" si="11"/>
        <v>0.636048526863085</v>
      </c>
      <c r="BA37" s="287">
        <v>1588750</v>
      </c>
      <c r="BB37" s="287">
        <f t="shared" si="12"/>
        <v>29421.296296296296</v>
      </c>
      <c r="BC37" s="9"/>
    </row>
    <row r="38" spans="1:55" ht="15.75" thickBot="1" x14ac:dyDescent="0.3">
      <c r="A38" s="77" t="s">
        <v>1126</v>
      </c>
      <c r="B38" s="77" t="s">
        <v>1127</v>
      </c>
      <c r="C38" s="97" t="s">
        <v>180</v>
      </c>
      <c r="D38" s="281"/>
      <c r="E38" s="278"/>
      <c r="F38" s="275" t="s">
        <v>180</v>
      </c>
      <c r="G38" s="19"/>
      <c r="H38" s="19"/>
      <c r="I38" s="20"/>
      <c r="J38" s="45"/>
      <c r="K38" s="29" t="s">
        <v>309</v>
      </c>
      <c r="L38" s="98">
        <v>54</v>
      </c>
      <c r="M38" s="19">
        <v>14</v>
      </c>
      <c r="N38" s="19"/>
      <c r="O38" s="291">
        <v>4</v>
      </c>
      <c r="P38" s="278"/>
      <c r="Q38" s="293"/>
      <c r="R38" s="99" t="str">
        <f>IF(G38="x",1,"")</f>
        <v/>
      </c>
      <c r="S38" s="100">
        <f t="shared" si="20"/>
        <v>18</v>
      </c>
      <c r="T38" s="101">
        <f>IF($C38="",0,VLOOKUP($C38,[4]Hoja1!$C$11:$D$27,2,FALSE)*M38)+IF($D38="",0,VLOOKUP($D38,[4]Hoja1!$C$11:$D$27,2,FALSE)*N38)+IF($F38="",0,VLOOKUP($F38,[4]Hoja1!$C$11:$D$27,2,FALSE)*O38)+IF(R38="",0,R38*0.5)</f>
        <v>5.4</v>
      </c>
      <c r="U38" s="19" t="s">
        <v>291</v>
      </c>
      <c r="V38" s="19"/>
      <c r="W38" s="102">
        <v>1.5</v>
      </c>
      <c r="X38" s="19"/>
      <c r="Y38" s="19"/>
      <c r="Z38" s="19"/>
      <c r="AA38" s="19"/>
      <c r="AB38" s="19">
        <v>1</v>
      </c>
      <c r="AC38" s="103"/>
      <c r="AD38" s="103">
        <v>1</v>
      </c>
      <c r="AE38" s="19"/>
      <c r="AF38" s="104">
        <v>2</v>
      </c>
      <c r="AG38" s="29" t="s">
        <v>1128</v>
      </c>
      <c r="AH38" s="105">
        <f t="shared" si="13"/>
        <v>10.9</v>
      </c>
      <c r="AI38" s="38"/>
      <c r="AJ38" s="22"/>
      <c r="AK38" s="22"/>
      <c r="AL38" s="104"/>
      <c r="AM38" s="29"/>
      <c r="AN38" s="106">
        <f>SUM(AI38:AM38)</f>
        <v>0</v>
      </c>
      <c r="AO38" s="39"/>
      <c r="AP38" s="39"/>
      <c r="AQ38" s="107">
        <f t="shared" si="3"/>
        <v>0</v>
      </c>
      <c r="AR38" s="34">
        <f t="shared" si="22"/>
        <v>28.9</v>
      </c>
      <c r="AS38" s="396">
        <f t="shared" si="23"/>
        <v>25.1</v>
      </c>
      <c r="AT38" s="355">
        <v>40.299999999999997</v>
      </c>
      <c r="AU38" s="356">
        <f t="shared" si="24"/>
        <v>12.666666666666666</v>
      </c>
      <c r="AV38" s="386">
        <f t="shared" si="25"/>
        <v>0</v>
      </c>
      <c r="AW38" s="358">
        <f t="shared" si="26"/>
        <v>0</v>
      </c>
      <c r="AX38" s="356">
        <f t="shared" si="9"/>
        <v>27.633333333333333</v>
      </c>
      <c r="AY38" s="387">
        <f t="shared" si="10"/>
        <v>0.31430934656741111</v>
      </c>
      <c r="AZ38" s="388">
        <f t="shared" si="11"/>
        <v>0.68569065343258895</v>
      </c>
      <c r="BA38" s="287">
        <v>1816548</v>
      </c>
      <c r="BB38" s="287">
        <f t="shared" si="12"/>
        <v>33639.777777777781</v>
      </c>
      <c r="BC38" s="9"/>
    </row>
    <row r="39" spans="1:55" ht="15.75" thickBot="1" x14ac:dyDescent="0.3">
      <c r="A39" s="77" t="s">
        <v>659</v>
      </c>
      <c r="B39" s="77" t="s">
        <v>660</v>
      </c>
      <c r="C39" s="97" t="s">
        <v>109</v>
      </c>
      <c r="D39" s="280" t="s">
        <v>56</v>
      </c>
      <c r="E39" s="278"/>
      <c r="F39" s="296"/>
      <c r="G39" s="19"/>
      <c r="H39" s="19"/>
      <c r="I39" s="20"/>
      <c r="J39" s="45"/>
      <c r="K39" s="29" t="s">
        <v>349</v>
      </c>
      <c r="L39" s="98">
        <v>20</v>
      </c>
      <c r="M39" s="19">
        <v>8</v>
      </c>
      <c r="N39" s="19">
        <v>2</v>
      </c>
      <c r="O39" s="291"/>
      <c r="P39" s="278"/>
      <c r="Q39" s="293"/>
      <c r="R39" s="99" t="str">
        <f>IF(G39="x",1,"")</f>
        <v/>
      </c>
      <c r="S39" s="100">
        <f t="shared" si="20"/>
        <v>10</v>
      </c>
      <c r="T39" s="101">
        <f>IF($C39="",0,VLOOKUP($C39,[4]Hoja1!$C$11:$D$27,2,FALSE)*M39)+IF($D39="",0,VLOOKUP($D39,[4]Hoja1!$C$11:$D$27,2,FALSE)*N39)+IF($F39="",0,VLOOKUP($F39,[4]Hoja1!$C$11:$D$27,2,FALSE)*O39)+IF(R39="",0,R39*0.5)</f>
        <v>5</v>
      </c>
      <c r="U39" s="19" t="s">
        <v>291</v>
      </c>
      <c r="V39" s="19"/>
      <c r="W39" s="102"/>
      <c r="X39" s="19"/>
      <c r="Y39" s="19"/>
      <c r="Z39" s="19"/>
      <c r="AA39" s="19"/>
      <c r="AB39" s="19"/>
      <c r="AC39" s="103"/>
      <c r="AD39" s="103"/>
      <c r="AE39" s="19"/>
      <c r="AF39" s="104"/>
      <c r="AG39" s="29"/>
      <c r="AH39" s="105">
        <f t="shared" si="13"/>
        <v>5</v>
      </c>
      <c r="AI39" s="38"/>
      <c r="AJ39" s="22"/>
      <c r="AK39" s="22"/>
      <c r="AL39" s="104"/>
      <c r="AM39" s="29"/>
      <c r="AN39" s="106">
        <f>SUM(AI39:AL39)</f>
        <v>0</v>
      </c>
      <c r="AO39" s="39"/>
      <c r="AP39" s="39"/>
      <c r="AQ39" s="107">
        <f t="shared" si="3"/>
        <v>0</v>
      </c>
      <c r="AR39" s="34">
        <f t="shared" si="22"/>
        <v>15</v>
      </c>
      <c r="AS39" s="396">
        <f t="shared" si="23"/>
        <v>5</v>
      </c>
      <c r="AT39" s="355">
        <v>14.166666666666666</v>
      </c>
      <c r="AU39" s="356">
        <f t="shared" si="24"/>
        <v>6.666666666666667</v>
      </c>
      <c r="AV39" s="386">
        <f t="shared" si="25"/>
        <v>0</v>
      </c>
      <c r="AW39" s="358">
        <f t="shared" si="26"/>
        <v>0</v>
      </c>
      <c r="AX39" s="356">
        <f t="shared" si="9"/>
        <v>7.4999999999999991</v>
      </c>
      <c r="AY39" s="387">
        <f t="shared" si="10"/>
        <v>0.4705882352941177</v>
      </c>
      <c r="AZ39" s="388">
        <f t="shared" si="11"/>
        <v>0.52941176470588236</v>
      </c>
      <c r="BA39" s="287">
        <v>1693688</v>
      </c>
      <c r="BB39" s="287">
        <f t="shared" si="12"/>
        <v>84684.4</v>
      </c>
      <c r="BC39" s="9"/>
    </row>
    <row r="40" spans="1:55" ht="15.75" thickBot="1" x14ac:dyDescent="0.3">
      <c r="A40" s="77" t="s">
        <v>578</v>
      </c>
      <c r="B40" s="77" t="s">
        <v>579</v>
      </c>
      <c r="C40" s="97" t="s">
        <v>56</v>
      </c>
      <c r="D40" s="280" t="s">
        <v>54</v>
      </c>
      <c r="E40" s="278"/>
      <c r="F40" s="296"/>
      <c r="G40" s="19" t="s">
        <v>57</v>
      </c>
      <c r="H40" s="19"/>
      <c r="I40" s="20"/>
      <c r="J40" s="45"/>
      <c r="K40" s="29" t="s">
        <v>290</v>
      </c>
      <c r="L40" s="98">
        <v>54</v>
      </c>
      <c r="M40" s="19">
        <v>12</v>
      </c>
      <c r="N40" s="19">
        <v>8</v>
      </c>
      <c r="O40" s="291"/>
      <c r="P40" s="278"/>
      <c r="Q40" s="293"/>
      <c r="R40" s="99">
        <v>1.25</v>
      </c>
      <c r="S40" s="100">
        <f t="shared" si="20"/>
        <v>21.25</v>
      </c>
      <c r="T40" s="101">
        <f>IF($C40="",0,VLOOKUP($C40,[4]Hoja1!$C$11:$D$27,2,FALSE)*M40)+IF($D40="",0,VLOOKUP($D40,[4]Hoja1!$C$11:$D$27,2,FALSE)*N40)+IF($F40="",0,VLOOKUP($F40,[4]Hoja1!$C$11:$D$27,2,FALSE)*O40)+IF(R40="",0,R40*0.5)</f>
        <v>10.625</v>
      </c>
      <c r="U40" s="19">
        <v>8</v>
      </c>
      <c r="V40" s="19">
        <v>5</v>
      </c>
      <c r="W40" s="102">
        <v>1.5</v>
      </c>
      <c r="X40" s="19"/>
      <c r="Y40" s="19"/>
      <c r="Z40" s="19"/>
      <c r="AA40" s="19"/>
      <c r="AB40" s="19">
        <v>3</v>
      </c>
      <c r="AC40" s="103">
        <v>1</v>
      </c>
      <c r="AD40" s="103">
        <v>1</v>
      </c>
      <c r="AE40" s="19"/>
      <c r="AF40" s="104">
        <v>1</v>
      </c>
      <c r="AG40" s="29" t="s">
        <v>580</v>
      </c>
      <c r="AH40" s="105">
        <f t="shared" si="13"/>
        <v>31.125</v>
      </c>
      <c r="AI40" s="38"/>
      <c r="AJ40" s="22"/>
      <c r="AK40" s="22"/>
      <c r="AL40" s="104"/>
      <c r="AM40" s="29"/>
      <c r="AN40" s="106">
        <f>SUM(AI40:AM40)</f>
        <v>0</v>
      </c>
      <c r="AO40" s="39"/>
      <c r="AP40" s="39"/>
      <c r="AQ40" s="107">
        <f t="shared" si="3"/>
        <v>0</v>
      </c>
      <c r="AR40" s="34">
        <f t="shared" si="22"/>
        <v>52.375</v>
      </c>
      <c r="AS40" s="396">
        <f t="shared" si="23"/>
        <v>1.625</v>
      </c>
      <c r="AT40" s="355">
        <v>40.333333333333336</v>
      </c>
      <c r="AU40" s="356">
        <f t="shared" si="24"/>
        <v>16.166666666666668</v>
      </c>
      <c r="AV40" s="386">
        <f t="shared" si="25"/>
        <v>0</v>
      </c>
      <c r="AW40" s="358">
        <f t="shared" si="26"/>
        <v>0</v>
      </c>
      <c r="AX40" s="356">
        <f t="shared" si="9"/>
        <v>24.166666666666668</v>
      </c>
      <c r="AY40" s="359">
        <f t="shared" si="10"/>
        <v>0.40082644628099173</v>
      </c>
      <c r="AZ40" s="360">
        <f t="shared" si="11"/>
        <v>0.59917355371900827</v>
      </c>
      <c r="BA40" s="287">
        <v>1793750</v>
      </c>
      <c r="BB40" s="287">
        <f t="shared" si="12"/>
        <v>33217.592592592591</v>
      </c>
      <c r="BC40" s="9"/>
    </row>
    <row r="41" spans="1:55" ht="15.75" thickBot="1" x14ac:dyDescent="0.3">
      <c r="A41" s="77" t="s">
        <v>1129</v>
      </c>
      <c r="B41" s="77" t="s">
        <v>1130</v>
      </c>
      <c r="C41" s="97" t="s">
        <v>109</v>
      </c>
      <c r="D41" s="281"/>
      <c r="E41" s="278"/>
      <c r="F41" s="275" t="s">
        <v>109</v>
      </c>
      <c r="G41" s="19"/>
      <c r="H41" s="19"/>
      <c r="I41" s="20"/>
      <c r="J41" s="45"/>
      <c r="K41" s="29" t="s">
        <v>318</v>
      </c>
      <c r="L41" s="98">
        <v>54</v>
      </c>
      <c r="M41" s="19">
        <v>18</v>
      </c>
      <c r="N41" s="19"/>
      <c r="O41" s="291">
        <v>4</v>
      </c>
      <c r="P41" s="278"/>
      <c r="Q41" s="293"/>
      <c r="R41" s="99" t="str">
        <f>IF(G41="x",1,"")</f>
        <v/>
      </c>
      <c r="S41" s="100">
        <f t="shared" si="20"/>
        <v>22</v>
      </c>
      <c r="T41" s="101">
        <f>IF($C41="",0,VLOOKUP($C41,[4]Hoja1!$C$11:$D$27,2,FALSE)*M41)+IF($D41="",0,VLOOKUP($D41,[4]Hoja1!$C$11:$D$27,2,FALSE)*N41)+IF($F41="",0,VLOOKUP($F41,[4]Hoja1!$C$11:$D$27,2,FALSE)*O41)+IF(R41="",0,R41*0.5)</f>
        <v>11</v>
      </c>
      <c r="U41" s="19" t="s">
        <v>291</v>
      </c>
      <c r="V41" s="19"/>
      <c r="W41" s="102">
        <v>1.5</v>
      </c>
      <c r="X41" s="19"/>
      <c r="Y41" s="19"/>
      <c r="Z41" s="19"/>
      <c r="AA41" s="19"/>
      <c r="AB41" s="19">
        <v>1</v>
      </c>
      <c r="AC41" s="103"/>
      <c r="AD41" s="103">
        <v>2</v>
      </c>
      <c r="AE41" s="19">
        <v>0.5</v>
      </c>
      <c r="AF41" s="104">
        <v>0.5</v>
      </c>
      <c r="AG41" s="29" t="s">
        <v>577</v>
      </c>
      <c r="AH41" s="105">
        <f t="shared" si="13"/>
        <v>16.5</v>
      </c>
      <c r="AI41" s="38"/>
      <c r="AJ41" s="22"/>
      <c r="AK41" s="22"/>
      <c r="AL41" s="104"/>
      <c r="AM41" s="29"/>
      <c r="AN41" s="106">
        <f t="shared" ref="AN41:AN46" si="27">SUM(AI41:AL41)</f>
        <v>0</v>
      </c>
      <c r="AO41" s="39"/>
      <c r="AP41" s="39"/>
      <c r="AQ41" s="107">
        <f t="shared" si="3"/>
        <v>0</v>
      </c>
      <c r="AR41" s="34">
        <f t="shared" si="22"/>
        <v>38.5</v>
      </c>
      <c r="AS41" s="396">
        <f t="shared" si="23"/>
        <v>15.5</v>
      </c>
      <c r="AT41" s="355">
        <v>40.416666666666664</v>
      </c>
      <c r="AU41" s="356">
        <f t="shared" si="24"/>
        <v>15.333333333333334</v>
      </c>
      <c r="AV41" s="386">
        <f t="shared" si="25"/>
        <v>0</v>
      </c>
      <c r="AW41" s="358">
        <f t="shared" si="26"/>
        <v>0</v>
      </c>
      <c r="AX41" s="356">
        <f t="shared" si="9"/>
        <v>25.083333333333329</v>
      </c>
      <c r="AY41" s="387">
        <f t="shared" si="10"/>
        <v>0.37938144329896911</v>
      </c>
      <c r="AZ41" s="388">
        <f t="shared" si="11"/>
        <v>0.62061855670103083</v>
      </c>
      <c r="BA41" s="287">
        <v>1895185</v>
      </c>
      <c r="BB41" s="287">
        <f t="shared" si="12"/>
        <v>35096.018518518518</v>
      </c>
      <c r="BC41" s="9"/>
    </row>
    <row r="42" spans="1:55" ht="15.75" thickBot="1" x14ac:dyDescent="0.3">
      <c r="A42" s="77" t="s">
        <v>581</v>
      </c>
      <c r="B42" s="77" t="s">
        <v>582</v>
      </c>
      <c r="C42" s="97" t="s">
        <v>54</v>
      </c>
      <c r="D42" s="280" t="s">
        <v>56</v>
      </c>
      <c r="E42" s="278"/>
      <c r="F42" s="275" t="s">
        <v>54</v>
      </c>
      <c r="G42" s="19" t="s">
        <v>57</v>
      </c>
      <c r="H42" s="19"/>
      <c r="I42" s="20"/>
      <c r="J42" s="45"/>
      <c r="K42" s="29" t="s">
        <v>318</v>
      </c>
      <c r="L42" s="98">
        <v>54</v>
      </c>
      <c r="M42" s="19">
        <v>12</v>
      </c>
      <c r="N42" s="19">
        <v>2</v>
      </c>
      <c r="O42" s="291">
        <v>4</v>
      </c>
      <c r="P42" s="278"/>
      <c r="Q42" s="293"/>
      <c r="R42" s="99">
        <v>1.25</v>
      </c>
      <c r="S42" s="100">
        <f t="shared" si="20"/>
        <v>19.25</v>
      </c>
      <c r="T42" s="101">
        <f>IF($C42="",0,VLOOKUP($C42,[4]Hoja1!$C$11:$D$27,2,FALSE)*M42)+IF($D42="",0,VLOOKUP($D42,[4]Hoja1!$C$11:$D$27,2,FALSE)*N42)+IF($F42="",0,VLOOKUP($F42,[4]Hoja1!$C$11:$D$27,2,FALSE)*O42)+IF(R42="",0,R42*0.5)</f>
        <v>9.625</v>
      </c>
      <c r="U42" s="19">
        <v>8</v>
      </c>
      <c r="V42" s="19">
        <v>5</v>
      </c>
      <c r="W42" s="102">
        <v>1.5</v>
      </c>
      <c r="X42" s="19"/>
      <c r="Y42" s="19"/>
      <c r="Z42" s="19"/>
      <c r="AA42" s="19"/>
      <c r="AB42" s="19">
        <v>3</v>
      </c>
      <c r="AC42" s="103"/>
      <c r="AD42" s="103">
        <v>1</v>
      </c>
      <c r="AE42" s="19"/>
      <c r="AF42" s="104">
        <v>0.5</v>
      </c>
      <c r="AG42" s="29" t="s">
        <v>577</v>
      </c>
      <c r="AH42" s="105">
        <f t="shared" si="13"/>
        <v>28.625</v>
      </c>
      <c r="AI42" s="38"/>
      <c r="AJ42" s="22"/>
      <c r="AK42" s="22"/>
      <c r="AL42" s="104"/>
      <c r="AM42" s="29"/>
      <c r="AN42" s="106">
        <f t="shared" si="27"/>
        <v>0</v>
      </c>
      <c r="AO42" s="39"/>
      <c r="AP42" s="39"/>
      <c r="AQ42" s="107">
        <f t="shared" si="3"/>
        <v>0</v>
      </c>
      <c r="AR42" s="34">
        <f t="shared" si="22"/>
        <v>47.875</v>
      </c>
      <c r="AS42" s="396">
        <f t="shared" si="23"/>
        <v>6.125</v>
      </c>
      <c r="AT42" s="355">
        <v>40.299999999999997</v>
      </c>
      <c r="AU42" s="356">
        <f t="shared" si="24"/>
        <v>14.833333333333334</v>
      </c>
      <c r="AV42" s="386">
        <f t="shared" si="25"/>
        <v>0</v>
      </c>
      <c r="AW42" s="358">
        <f t="shared" si="26"/>
        <v>0</v>
      </c>
      <c r="AX42" s="356">
        <f t="shared" si="9"/>
        <v>25.466666666666661</v>
      </c>
      <c r="AY42" s="359">
        <f t="shared" si="10"/>
        <v>0.36807278742762617</v>
      </c>
      <c r="AZ42" s="360">
        <f t="shared" si="11"/>
        <v>0.63192721257237383</v>
      </c>
      <c r="BA42" s="287">
        <v>2668961</v>
      </c>
      <c r="BB42" s="287">
        <f t="shared" si="12"/>
        <v>49425.203703703701</v>
      </c>
      <c r="BC42" s="9"/>
    </row>
    <row r="43" spans="1:55" ht="15.75" thickBot="1" x14ac:dyDescent="0.3">
      <c r="A43" s="77" t="s">
        <v>583</v>
      </c>
      <c r="B43" s="77" t="s">
        <v>584</v>
      </c>
      <c r="C43" s="97" t="s">
        <v>109</v>
      </c>
      <c r="D43" s="281"/>
      <c r="E43" s="278"/>
      <c r="F43" s="275" t="s">
        <v>109</v>
      </c>
      <c r="G43" s="19" t="s">
        <v>57</v>
      </c>
      <c r="H43" s="19" t="s">
        <v>57</v>
      </c>
      <c r="I43" s="20"/>
      <c r="J43" s="45"/>
      <c r="K43" s="29" t="s">
        <v>349</v>
      </c>
      <c r="L43" s="98">
        <v>54</v>
      </c>
      <c r="M43" s="19">
        <v>12</v>
      </c>
      <c r="N43" s="19"/>
      <c r="O43" s="291">
        <v>4</v>
      </c>
      <c r="P43" s="278"/>
      <c r="Q43" s="293"/>
      <c r="R43" s="99">
        <v>1.25</v>
      </c>
      <c r="S43" s="100">
        <f t="shared" si="20"/>
        <v>17.25</v>
      </c>
      <c r="T43" s="101">
        <f>IF($C43="",0,VLOOKUP($C43,[4]Hoja1!$C$11:$D$27,2,FALSE)*M43)+IF($D43="",0,VLOOKUP($D43,[4]Hoja1!$C$11:$D$27,2,FALSE)*N43)+IF($F43="",0,VLOOKUP($F43,[4]Hoja1!$C$11:$D$27,2,FALSE)*O43)+IF(R43="",0,R43*0.5)</f>
        <v>8.625</v>
      </c>
      <c r="U43" s="19">
        <v>8</v>
      </c>
      <c r="V43" s="19">
        <v>8</v>
      </c>
      <c r="W43" s="102">
        <v>1.5</v>
      </c>
      <c r="X43" s="19"/>
      <c r="Y43" s="19"/>
      <c r="Z43" s="19"/>
      <c r="AA43" s="19"/>
      <c r="AB43" s="19">
        <v>3</v>
      </c>
      <c r="AC43" s="103">
        <v>2</v>
      </c>
      <c r="AD43" s="103"/>
      <c r="AE43" s="19"/>
      <c r="AF43" s="104">
        <v>0.5</v>
      </c>
      <c r="AG43" s="29" t="s">
        <v>577</v>
      </c>
      <c r="AH43" s="105">
        <f t="shared" si="13"/>
        <v>31.625</v>
      </c>
      <c r="AI43" s="38"/>
      <c r="AJ43" s="22">
        <v>8</v>
      </c>
      <c r="AK43" s="22"/>
      <c r="AL43" s="104"/>
      <c r="AM43" s="29"/>
      <c r="AN43" s="106">
        <f t="shared" si="27"/>
        <v>8</v>
      </c>
      <c r="AO43" s="39"/>
      <c r="AP43" s="39"/>
      <c r="AQ43" s="107">
        <f t="shared" si="3"/>
        <v>0</v>
      </c>
      <c r="AR43" s="34">
        <f t="shared" si="22"/>
        <v>56.875</v>
      </c>
      <c r="AS43" s="396">
        <f t="shared" si="23"/>
        <v>-2.875</v>
      </c>
      <c r="AT43" s="355">
        <v>40.299999999999997</v>
      </c>
      <c r="AU43" s="356">
        <f t="shared" si="24"/>
        <v>13.5</v>
      </c>
      <c r="AV43" s="386">
        <f t="shared" si="25"/>
        <v>5.333333333333333</v>
      </c>
      <c r="AW43" s="358">
        <f t="shared" si="26"/>
        <v>0</v>
      </c>
      <c r="AX43" s="356">
        <f t="shared" si="9"/>
        <v>21.466666666666665</v>
      </c>
      <c r="AY43" s="359">
        <f t="shared" si="10"/>
        <v>0.38608198284080075</v>
      </c>
      <c r="AZ43" s="360">
        <f t="shared" si="11"/>
        <v>0.61391801715919914</v>
      </c>
      <c r="BA43" s="287">
        <v>2451210</v>
      </c>
      <c r="BB43" s="287">
        <f t="shared" si="12"/>
        <v>45392.777777777781</v>
      </c>
      <c r="BC43" s="9"/>
    </row>
    <row r="44" spans="1:55" ht="15.75" thickBot="1" x14ac:dyDescent="0.3">
      <c r="A44" s="77" t="s">
        <v>1131</v>
      </c>
      <c r="B44" s="77" t="s">
        <v>1132</v>
      </c>
      <c r="C44" s="97" t="s">
        <v>61</v>
      </c>
      <c r="D44" s="281"/>
      <c r="E44" s="278"/>
      <c r="F44" s="296"/>
      <c r="G44" s="19"/>
      <c r="H44" s="19"/>
      <c r="I44" s="20"/>
      <c r="J44" s="45"/>
      <c r="K44" s="29" t="s">
        <v>318</v>
      </c>
      <c r="L44" s="98">
        <v>54</v>
      </c>
      <c r="M44" s="19">
        <v>20</v>
      </c>
      <c r="N44" s="19"/>
      <c r="O44" s="291"/>
      <c r="P44" s="278"/>
      <c r="Q44" s="293">
        <v>4</v>
      </c>
      <c r="R44" s="99" t="str">
        <f>IF(G44="x",1,"")</f>
        <v/>
      </c>
      <c r="S44" s="100">
        <f t="shared" si="20"/>
        <v>24</v>
      </c>
      <c r="T44" s="101">
        <f>IF($C44="",0,VLOOKUP($C44,[4]Hoja1!$C$11:$D$27,2,FALSE)*M44)+IF($D44="",0,VLOOKUP($D44,[4]Hoja1!$C$11:$D$27,2,FALSE)*N44)+IF($F44="",0,VLOOKUP($F44,[4]Hoja1!$C$11:$D$27,2,FALSE)*O44)+IF(R44="",0,R44*0.5)</f>
        <v>10</v>
      </c>
      <c r="U44" s="19" t="s">
        <v>291</v>
      </c>
      <c r="V44" s="19"/>
      <c r="W44" s="102">
        <v>1.5</v>
      </c>
      <c r="X44" s="19"/>
      <c r="Y44" s="19"/>
      <c r="Z44" s="19"/>
      <c r="AA44" s="19"/>
      <c r="AB44" s="19">
        <v>1</v>
      </c>
      <c r="AC44" s="103"/>
      <c r="AD44" s="103">
        <v>2</v>
      </c>
      <c r="AE44" s="19"/>
      <c r="AF44" s="104">
        <v>0.5</v>
      </c>
      <c r="AG44" s="29" t="s">
        <v>577</v>
      </c>
      <c r="AH44" s="105">
        <f t="shared" si="13"/>
        <v>15</v>
      </c>
      <c r="AI44" s="38"/>
      <c r="AJ44" s="22"/>
      <c r="AK44" s="22"/>
      <c r="AL44" s="104"/>
      <c r="AM44" s="29"/>
      <c r="AN44" s="106">
        <f t="shared" si="27"/>
        <v>0</v>
      </c>
      <c r="AO44" s="39"/>
      <c r="AP44" s="39"/>
      <c r="AQ44" s="107">
        <f t="shared" si="3"/>
        <v>0</v>
      </c>
      <c r="AR44" s="34">
        <f t="shared" si="22"/>
        <v>39</v>
      </c>
      <c r="AS44" s="396">
        <f t="shared" si="23"/>
        <v>15</v>
      </c>
      <c r="AT44" s="355">
        <v>40.4</v>
      </c>
      <c r="AU44" s="356">
        <f t="shared" si="24"/>
        <v>16.666666666666668</v>
      </c>
      <c r="AV44" s="386">
        <f t="shared" si="25"/>
        <v>0</v>
      </c>
      <c r="AW44" s="358">
        <f t="shared" si="26"/>
        <v>0</v>
      </c>
      <c r="AX44" s="356">
        <f t="shared" si="9"/>
        <v>23.733333333333331</v>
      </c>
      <c r="AY44" s="387">
        <f t="shared" si="10"/>
        <v>0.41254125412541259</v>
      </c>
      <c r="AZ44" s="388">
        <f t="shared" si="11"/>
        <v>0.58745874587458746</v>
      </c>
      <c r="BA44" s="287">
        <v>1550000</v>
      </c>
      <c r="BB44" s="287">
        <f t="shared" si="12"/>
        <v>28703.703703703704</v>
      </c>
      <c r="BC44" s="9"/>
    </row>
    <row r="45" spans="1:55" ht="15.75" thickBot="1" x14ac:dyDescent="0.3">
      <c r="A45" s="77" t="s">
        <v>585</v>
      </c>
      <c r="B45" s="77" t="s">
        <v>586</v>
      </c>
      <c r="C45" s="97" t="s">
        <v>180</v>
      </c>
      <c r="D45" s="281"/>
      <c r="E45" s="278"/>
      <c r="F45" s="275" t="s">
        <v>180</v>
      </c>
      <c r="G45" s="19" t="s">
        <v>57</v>
      </c>
      <c r="H45" s="19"/>
      <c r="I45" s="20"/>
      <c r="J45" s="45"/>
      <c r="K45" s="29" t="s">
        <v>309</v>
      </c>
      <c r="L45" s="98">
        <v>54</v>
      </c>
      <c r="M45" s="19">
        <v>16</v>
      </c>
      <c r="N45" s="19"/>
      <c r="O45" s="291">
        <v>2</v>
      </c>
      <c r="P45" s="278"/>
      <c r="Q45" s="293"/>
      <c r="R45" s="99">
        <v>1.25</v>
      </c>
      <c r="S45" s="100">
        <f t="shared" si="20"/>
        <v>19.25</v>
      </c>
      <c r="T45" s="101">
        <f>IF($C45="",0,VLOOKUP($C45,[4]Hoja1!$C$11:$D$27,2,FALSE)*M45)+IF($D45="",0,VLOOKUP($D45,[4]Hoja1!$C$11:$D$27,2,FALSE)*N45)+IF($F45="",0,VLOOKUP($F45,[4]Hoja1!$C$11:$D$27,2,FALSE)*O45)+IF(R45="",0,R45*0.5)</f>
        <v>6.0249999999999995</v>
      </c>
      <c r="U45" s="19">
        <v>8</v>
      </c>
      <c r="V45" s="19">
        <v>5</v>
      </c>
      <c r="W45" s="102">
        <v>1.5</v>
      </c>
      <c r="X45" s="19"/>
      <c r="Y45" s="19"/>
      <c r="Z45" s="19"/>
      <c r="AA45" s="19"/>
      <c r="AB45" s="19">
        <v>3</v>
      </c>
      <c r="AC45" s="103"/>
      <c r="AD45" s="103">
        <v>1</v>
      </c>
      <c r="AE45" s="19"/>
      <c r="AF45" s="104"/>
      <c r="AG45" s="29"/>
      <c r="AH45" s="105">
        <f t="shared" si="13"/>
        <v>24.524999999999999</v>
      </c>
      <c r="AI45" s="38"/>
      <c r="AJ45" s="22"/>
      <c r="AK45" s="22"/>
      <c r="AL45" s="104"/>
      <c r="AM45" s="29"/>
      <c r="AN45" s="106">
        <f t="shared" si="27"/>
        <v>0</v>
      </c>
      <c r="AO45" s="39"/>
      <c r="AP45" s="39"/>
      <c r="AQ45" s="107">
        <f t="shared" si="3"/>
        <v>0</v>
      </c>
      <c r="AR45" s="34">
        <f t="shared" si="22"/>
        <v>43.774999999999999</v>
      </c>
      <c r="AS45" s="396">
        <f t="shared" si="23"/>
        <v>10.225000000000001</v>
      </c>
      <c r="AT45" s="355">
        <v>40.333333333333336</v>
      </c>
      <c r="AU45" s="356">
        <f t="shared" si="24"/>
        <v>14.833333333333334</v>
      </c>
      <c r="AV45" s="386">
        <f t="shared" si="25"/>
        <v>0</v>
      </c>
      <c r="AW45" s="358">
        <f t="shared" si="26"/>
        <v>0</v>
      </c>
      <c r="AX45" s="356">
        <f t="shared" si="9"/>
        <v>25.5</v>
      </c>
      <c r="AY45" s="359">
        <f t="shared" si="10"/>
        <v>0.36776859504132231</v>
      </c>
      <c r="AZ45" s="360">
        <f t="shared" si="11"/>
        <v>0.63223140495867769</v>
      </c>
      <c r="BA45" s="287">
        <v>3529883</v>
      </c>
      <c r="BB45" s="287">
        <f t="shared" si="12"/>
        <v>65368.203703703701</v>
      </c>
      <c r="BC45" s="9"/>
    </row>
    <row r="46" spans="1:55" ht="15.75" thickBot="1" x14ac:dyDescent="0.3">
      <c r="A46" s="77" t="s">
        <v>1133</v>
      </c>
      <c r="B46" s="77" t="s">
        <v>1134</v>
      </c>
      <c r="C46" s="97" t="s">
        <v>54</v>
      </c>
      <c r="D46" s="281"/>
      <c r="E46" s="278"/>
      <c r="F46" s="275" t="s">
        <v>54</v>
      </c>
      <c r="G46" s="19"/>
      <c r="H46" s="19" t="s">
        <v>57</v>
      </c>
      <c r="I46" s="20"/>
      <c r="J46" s="45"/>
      <c r="K46" s="29" t="s">
        <v>349</v>
      </c>
      <c r="L46" s="98">
        <v>44</v>
      </c>
      <c r="M46" s="19">
        <v>10</v>
      </c>
      <c r="N46" s="19"/>
      <c r="O46" s="291">
        <v>4</v>
      </c>
      <c r="P46" s="278"/>
      <c r="Q46" s="293"/>
      <c r="R46" s="99" t="str">
        <f>IF(G46="x",1,"")</f>
        <v/>
      </c>
      <c r="S46" s="100">
        <f t="shared" si="20"/>
        <v>14</v>
      </c>
      <c r="T46" s="101">
        <f>IF($C46="",0,VLOOKUP($C46,[4]Hoja1!$C$11:$D$27,2,FALSE)*M46)+IF($D46="",0,VLOOKUP($D46,[4]Hoja1!$C$11:$D$27,2,FALSE)*N46)+IF($F46="",0,VLOOKUP($F46,[4]Hoja1!$C$11:$D$27,2,FALSE)*O46)+IF(R46="",0,R46*0.5)</f>
        <v>7</v>
      </c>
      <c r="U46" s="19" t="s">
        <v>291</v>
      </c>
      <c r="V46" s="19"/>
      <c r="W46" s="102">
        <v>1.5</v>
      </c>
      <c r="X46" s="19"/>
      <c r="Y46" s="19"/>
      <c r="Z46" s="19"/>
      <c r="AA46" s="19"/>
      <c r="AB46" s="19">
        <v>3</v>
      </c>
      <c r="AC46" s="103">
        <v>1</v>
      </c>
      <c r="AD46" s="103"/>
      <c r="AE46" s="19"/>
      <c r="AF46" s="104">
        <v>0.5</v>
      </c>
      <c r="AG46" s="29" t="s">
        <v>577</v>
      </c>
      <c r="AH46" s="105">
        <f t="shared" si="13"/>
        <v>13</v>
      </c>
      <c r="AI46" s="38"/>
      <c r="AJ46" s="22">
        <v>7</v>
      </c>
      <c r="AK46" s="22"/>
      <c r="AL46" s="104"/>
      <c r="AM46" s="29"/>
      <c r="AN46" s="106">
        <f t="shared" si="27"/>
        <v>7</v>
      </c>
      <c r="AO46" s="39"/>
      <c r="AP46" s="39"/>
      <c r="AQ46" s="107">
        <f t="shared" si="3"/>
        <v>0</v>
      </c>
      <c r="AR46" s="34">
        <f t="shared" si="22"/>
        <v>34</v>
      </c>
      <c r="AS46" s="396">
        <f t="shared" si="23"/>
        <v>10</v>
      </c>
      <c r="AT46" s="355">
        <v>33.266666666666666</v>
      </c>
      <c r="AU46" s="356">
        <f t="shared" si="24"/>
        <v>11.333333333333334</v>
      </c>
      <c r="AV46" s="386">
        <f t="shared" si="25"/>
        <v>4.666666666666667</v>
      </c>
      <c r="AW46" s="358">
        <f t="shared" si="26"/>
        <v>0</v>
      </c>
      <c r="AX46" s="356">
        <f t="shared" si="9"/>
        <v>17.266666666666662</v>
      </c>
      <c r="AY46" s="387">
        <f t="shared" si="10"/>
        <v>0.3962703962703964</v>
      </c>
      <c r="AZ46" s="388">
        <f t="shared" si="11"/>
        <v>0.60372960372960371</v>
      </c>
      <c r="BA46" s="287">
        <v>1934330</v>
      </c>
      <c r="BB46" s="287">
        <f t="shared" si="12"/>
        <v>43962.045454545456</v>
      </c>
      <c r="BC46" s="9"/>
    </row>
    <row r="47" spans="1:55" ht="15.75" thickBot="1" x14ac:dyDescent="0.3">
      <c r="A47" s="77" t="s">
        <v>587</v>
      </c>
      <c r="B47" s="77" t="s">
        <v>588</v>
      </c>
      <c r="C47" s="97" t="s">
        <v>114</v>
      </c>
      <c r="D47" s="280" t="s">
        <v>56</v>
      </c>
      <c r="E47" s="278"/>
      <c r="F47" s="296"/>
      <c r="G47" s="19" t="s">
        <v>57</v>
      </c>
      <c r="H47" s="19"/>
      <c r="I47" s="20"/>
      <c r="J47" s="45"/>
      <c r="K47" s="29" t="s">
        <v>303</v>
      </c>
      <c r="L47" s="98">
        <v>54</v>
      </c>
      <c r="M47" s="19">
        <v>16</v>
      </c>
      <c r="N47" s="19">
        <v>6</v>
      </c>
      <c r="O47" s="291"/>
      <c r="P47" s="278"/>
      <c r="Q47" s="293"/>
      <c r="R47" s="99">
        <v>1.25</v>
      </c>
      <c r="S47" s="100">
        <f t="shared" si="20"/>
        <v>23.25</v>
      </c>
      <c r="T47" s="101">
        <f>IF($C47="",0,VLOOKUP($C47,[4]Hoja1!$C$11:$D$27,2,FALSE)*M47)+IF($D47="",0,VLOOKUP($D47,[4]Hoja1!$C$11:$D$27,2,FALSE)*N47)+IF($F47="",0,VLOOKUP($F47,[4]Hoja1!$C$11:$D$27,2,FALSE)*O47)+IF(R47="",0,R47*0.5)</f>
        <v>11.625</v>
      </c>
      <c r="U47" s="19">
        <v>5</v>
      </c>
      <c r="V47" s="19"/>
      <c r="W47" s="102">
        <v>1.5</v>
      </c>
      <c r="X47" s="19"/>
      <c r="Y47" s="19"/>
      <c r="Z47" s="19"/>
      <c r="AA47" s="19"/>
      <c r="AB47" s="19"/>
      <c r="AC47" s="103">
        <v>1</v>
      </c>
      <c r="AD47" s="103">
        <v>0.75</v>
      </c>
      <c r="AE47" s="19">
        <v>0.5</v>
      </c>
      <c r="AF47" s="104">
        <f>M47*0.5+0.5</f>
        <v>8.5</v>
      </c>
      <c r="AG47" s="29" t="s">
        <v>538</v>
      </c>
      <c r="AH47" s="105">
        <f t="shared" si="13"/>
        <v>28.875</v>
      </c>
      <c r="AI47" s="38"/>
      <c r="AJ47" s="22"/>
      <c r="AK47" s="22"/>
      <c r="AL47" s="104"/>
      <c r="AM47" s="29"/>
      <c r="AN47" s="106">
        <f t="shared" ref="AN47:AN48" si="28">SUM(AI47:AM47)</f>
        <v>0</v>
      </c>
      <c r="AO47" s="39"/>
      <c r="AP47" s="39"/>
      <c r="AQ47" s="107">
        <f t="shared" si="3"/>
        <v>0</v>
      </c>
      <c r="AR47" s="34">
        <f t="shared" si="22"/>
        <v>52.125</v>
      </c>
      <c r="AS47" s="396">
        <f t="shared" si="23"/>
        <v>1.875</v>
      </c>
      <c r="AT47" s="355">
        <v>40.35</v>
      </c>
      <c r="AU47" s="356">
        <f t="shared" si="24"/>
        <v>15.5</v>
      </c>
      <c r="AV47" s="386">
        <f t="shared" si="25"/>
        <v>0</v>
      </c>
      <c r="AW47" s="358">
        <f t="shared" si="26"/>
        <v>0</v>
      </c>
      <c r="AX47" s="356">
        <f t="shared" si="9"/>
        <v>24.85</v>
      </c>
      <c r="AY47" s="359">
        <f t="shared" si="10"/>
        <v>0.38413878562577447</v>
      </c>
      <c r="AZ47" s="360">
        <f t="shared" si="11"/>
        <v>0.61586121437422559</v>
      </c>
      <c r="BA47" s="287">
        <v>3369148</v>
      </c>
      <c r="BB47" s="287">
        <f t="shared" si="12"/>
        <v>62391.629629629628</v>
      </c>
      <c r="BC47" s="9"/>
    </row>
    <row r="48" spans="1:55" ht="15.75" thickBot="1" x14ac:dyDescent="0.3">
      <c r="A48" s="77" t="s">
        <v>589</v>
      </c>
      <c r="B48" s="77" t="s">
        <v>590</v>
      </c>
      <c r="C48" s="97" t="s">
        <v>114</v>
      </c>
      <c r="D48" s="281"/>
      <c r="E48" s="278"/>
      <c r="F48" s="296"/>
      <c r="G48" s="19" t="s">
        <v>57</v>
      </c>
      <c r="H48" s="19"/>
      <c r="I48" s="20"/>
      <c r="J48" s="45"/>
      <c r="K48" s="29" t="s">
        <v>303</v>
      </c>
      <c r="L48" s="98">
        <v>54</v>
      </c>
      <c r="M48" s="19">
        <v>8</v>
      </c>
      <c r="N48" s="19"/>
      <c r="O48" s="291"/>
      <c r="P48" s="278"/>
      <c r="Q48" s="293">
        <v>14</v>
      </c>
      <c r="R48" s="99">
        <v>1.25</v>
      </c>
      <c r="S48" s="100">
        <f t="shared" si="20"/>
        <v>23.25</v>
      </c>
      <c r="T48" s="101">
        <f>IF($C48="",0,VLOOKUP($C48,[4]Hoja1!$C$11:$D$27,2,FALSE)*M48)+IF($D48="",0,VLOOKUP($D48,[4]Hoja1!$C$11:$D$27,2,FALSE)*N48)+IF($F48="",0,VLOOKUP($F48,[4]Hoja1!$C$11:$D$27,2,FALSE)*O48)+IF(R48="",0,R48*0.5)</f>
        <v>4.625</v>
      </c>
      <c r="U48" s="19">
        <v>5</v>
      </c>
      <c r="V48" s="19"/>
      <c r="W48" s="102">
        <v>1.5</v>
      </c>
      <c r="X48" s="19">
        <v>3</v>
      </c>
      <c r="Y48" s="19"/>
      <c r="Z48" s="19"/>
      <c r="AA48" s="19"/>
      <c r="AB48" s="19">
        <v>4</v>
      </c>
      <c r="AC48" s="103">
        <v>1</v>
      </c>
      <c r="AD48" s="103">
        <v>0.75</v>
      </c>
      <c r="AE48" s="19">
        <v>0.5</v>
      </c>
      <c r="AF48" s="104">
        <f>M48*0.5</f>
        <v>4</v>
      </c>
      <c r="AG48" s="29" t="s">
        <v>563</v>
      </c>
      <c r="AH48" s="105">
        <f t="shared" si="13"/>
        <v>24.375</v>
      </c>
      <c r="AI48" s="38"/>
      <c r="AJ48" s="22"/>
      <c r="AK48" s="22"/>
      <c r="AL48" s="104"/>
      <c r="AM48" s="29"/>
      <c r="AN48" s="106">
        <f t="shared" si="28"/>
        <v>0</v>
      </c>
      <c r="AO48" s="39"/>
      <c r="AP48" s="39"/>
      <c r="AQ48" s="107">
        <f t="shared" si="3"/>
        <v>0</v>
      </c>
      <c r="AR48" s="34">
        <f t="shared" si="22"/>
        <v>47.625</v>
      </c>
      <c r="AS48" s="396">
        <f t="shared" si="23"/>
        <v>6.375</v>
      </c>
      <c r="AT48" s="355">
        <v>40.366666666666667</v>
      </c>
      <c r="AU48" s="356">
        <f t="shared" si="24"/>
        <v>18.166666666666668</v>
      </c>
      <c r="AV48" s="386">
        <f t="shared" si="25"/>
        <v>0</v>
      </c>
      <c r="AW48" s="358">
        <f t="shared" si="26"/>
        <v>0</v>
      </c>
      <c r="AX48" s="356">
        <f t="shared" si="9"/>
        <v>22.2</v>
      </c>
      <c r="AY48" s="359">
        <f t="shared" si="10"/>
        <v>0.45004128819157724</v>
      </c>
      <c r="AZ48" s="360">
        <f t="shared" si="11"/>
        <v>0.54995871180842282</v>
      </c>
      <c r="BA48" s="287">
        <v>2000000</v>
      </c>
      <c r="BB48" s="287">
        <f t="shared" si="12"/>
        <v>37037.037037037036</v>
      </c>
      <c r="BC48" s="9"/>
    </row>
    <row r="49" spans="1:55" ht="15.75" thickBot="1" x14ac:dyDescent="0.3">
      <c r="A49" s="77" t="s">
        <v>591</v>
      </c>
      <c r="B49" s="77" t="s">
        <v>592</v>
      </c>
      <c r="C49" s="97" t="s">
        <v>55</v>
      </c>
      <c r="D49" s="281"/>
      <c r="E49" s="278"/>
      <c r="F49" s="275" t="s">
        <v>55</v>
      </c>
      <c r="G49" s="19" t="s">
        <v>57</v>
      </c>
      <c r="H49" s="19"/>
      <c r="I49" s="20"/>
      <c r="J49" s="45"/>
      <c r="K49" s="29" t="s">
        <v>349</v>
      </c>
      <c r="L49" s="98">
        <v>54</v>
      </c>
      <c r="M49" s="19">
        <v>12</v>
      </c>
      <c r="N49" s="19"/>
      <c r="O49" s="291">
        <v>4</v>
      </c>
      <c r="P49" s="278"/>
      <c r="Q49" s="293"/>
      <c r="R49" s="99">
        <v>1.25</v>
      </c>
      <c r="S49" s="100">
        <f t="shared" si="20"/>
        <v>17.25</v>
      </c>
      <c r="T49" s="101">
        <f>IF($C49="",0,VLOOKUP($C49,[4]Hoja1!$C$11:$D$27,2,FALSE)*M49)+IF($D49="",0,VLOOKUP($D49,[4]Hoja1!$C$11:$D$27,2,FALSE)*N49)+IF($F49="",0,VLOOKUP($F49,[4]Hoja1!$C$11:$D$27,2,FALSE)*O49)+IF(R49="",0,R49*0.5)</f>
        <v>10.225</v>
      </c>
      <c r="U49" s="19">
        <v>8</v>
      </c>
      <c r="V49" s="19">
        <v>8</v>
      </c>
      <c r="W49" s="102"/>
      <c r="X49" s="19"/>
      <c r="Y49" s="19"/>
      <c r="Z49" s="19"/>
      <c r="AA49" s="19">
        <v>5</v>
      </c>
      <c r="AB49" s="19">
        <v>3</v>
      </c>
      <c r="AC49" s="103">
        <v>2</v>
      </c>
      <c r="AD49" s="103"/>
      <c r="AE49" s="19"/>
      <c r="AF49" s="104"/>
      <c r="AG49" s="29"/>
      <c r="AH49" s="105">
        <f t="shared" si="13"/>
        <v>36.225000000000001</v>
      </c>
      <c r="AI49" s="38"/>
      <c r="AJ49" s="22"/>
      <c r="AK49" s="22"/>
      <c r="AL49" s="104"/>
      <c r="AM49" s="29"/>
      <c r="AN49" s="106">
        <f t="shared" ref="AN49:AN59" si="29">SUM(AI49:AL49)</f>
        <v>0</v>
      </c>
      <c r="AO49" s="39"/>
      <c r="AP49" s="39"/>
      <c r="AQ49" s="107">
        <f t="shared" si="3"/>
        <v>0</v>
      </c>
      <c r="AR49" s="34">
        <f t="shared" si="22"/>
        <v>53.475000000000001</v>
      </c>
      <c r="AS49" s="396">
        <f t="shared" si="23"/>
        <v>0.52499999999999858</v>
      </c>
      <c r="AT49" s="355">
        <v>40.266666666666666</v>
      </c>
      <c r="AU49" s="356">
        <f t="shared" si="24"/>
        <v>13.5</v>
      </c>
      <c r="AV49" s="386">
        <f t="shared" si="25"/>
        <v>0</v>
      </c>
      <c r="AW49" s="358">
        <f t="shared" si="26"/>
        <v>0</v>
      </c>
      <c r="AX49" s="356">
        <f t="shared" si="9"/>
        <v>26.766666666666666</v>
      </c>
      <c r="AY49" s="359">
        <f t="shared" si="10"/>
        <v>0.33526490066225167</v>
      </c>
      <c r="AZ49" s="360">
        <f t="shared" si="11"/>
        <v>0.66473509933774833</v>
      </c>
      <c r="BA49" s="287">
        <v>2255000</v>
      </c>
      <c r="BB49" s="287">
        <f t="shared" si="12"/>
        <v>41759.259259259263</v>
      </c>
      <c r="BC49" s="9"/>
    </row>
    <row r="50" spans="1:55" ht="15.75" thickBot="1" x14ac:dyDescent="0.3">
      <c r="A50" s="77" t="s">
        <v>1135</v>
      </c>
      <c r="B50" s="77" t="s">
        <v>1136</v>
      </c>
      <c r="C50" s="97" t="s">
        <v>55</v>
      </c>
      <c r="D50" s="281"/>
      <c r="E50" s="278"/>
      <c r="F50" s="275" t="s">
        <v>55</v>
      </c>
      <c r="G50" s="19"/>
      <c r="H50" s="19"/>
      <c r="I50" s="20"/>
      <c r="J50" s="45"/>
      <c r="K50" s="29" t="s">
        <v>349</v>
      </c>
      <c r="L50" s="98">
        <v>6</v>
      </c>
      <c r="M50" s="19"/>
      <c r="N50" s="19"/>
      <c r="O50" s="291">
        <v>4</v>
      </c>
      <c r="P50" s="278"/>
      <c r="Q50" s="293"/>
      <c r="R50" s="99" t="str">
        <f>IF(G50="x",1,"")</f>
        <v/>
      </c>
      <c r="S50" s="100">
        <f t="shared" si="20"/>
        <v>4</v>
      </c>
      <c r="T50" s="101">
        <f>IF($C50="",0,VLOOKUP($C50,[4]Hoja1!$C$11:$D$27,2,FALSE)*M50)+IF($D50="",0,VLOOKUP($D50,[4]Hoja1!$C$11:$D$27,2,FALSE)*N50)+IF($F50="",0,VLOOKUP($F50,[4]Hoja1!$C$11:$D$27,2,FALSE)*O50)+IF(R50="",0,R50*0.5)</f>
        <v>2.4</v>
      </c>
      <c r="U50" s="19" t="s">
        <v>291</v>
      </c>
      <c r="V50" s="19"/>
      <c r="W50" s="102"/>
      <c r="X50" s="19"/>
      <c r="Y50" s="19"/>
      <c r="Z50" s="19"/>
      <c r="AA50" s="19"/>
      <c r="AB50" s="19"/>
      <c r="AC50" s="103"/>
      <c r="AD50" s="103"/>
      <c r="AE50" s="19"/>
      <c r="AF50" s="104"/>
      <c r="AG50" s="29"/>
      <c r="AH50" s="105">
        <f t="shared" si="13"/>
        <v>2.4</v>
      </c>
      <c r="AI50" s="38"/>
      <c r="AJ50" s="22"/>
      <c r="AK50" s="22"/>
      <c r="AL50" s="104"/>
      <c r="AM50" s="29"/>
      <c r="AN50" s="106">
        <f t="shared" si="29"/>
        <v>0</v>
      </c>
      <c r="AO50" s="39"/>
      <c r="AP50" s="39"/>
      <c r="AQ50" s="107">
        <f t="shared" si="3"/>
        <v>0</v>
      </c>
      <c r="AR50" s="34">
        <f t="shared" si="22"/>
        <v>6.4</v>
      </c>
      <c r="AS50" s="396">
        <f t="shared" si="23"/>
        <v>-0.40000000000000036</v>
      </c>
      <c r="AT50" s="355">
        <v>4.0666666666666664</v>
      </c>
      <c r="AU50" s="356">
        <f t="shared" si="24"/>
        <v>2.6666666666666665</v>
      </c>
      <c r="AV50" s="386">
        <f t="shared" si="25"/>
        <v>0</v>
      </c>
      <c r="AW50" s="358">
        <f t="shared" si="26"/>
        <v>0</v>
      </c>
      <c r="AX50" s="356">
        <f t="shared" si="9"/>
        <v>1.4</v>
      </c>
      <c r="AY50" s="387">
        <f t="shared" si="10"/>
        <v>0.65573770491803274</v>
      </c>
      <c r="AZ50" s="388">
        <f t="shared" si="11"/>
        <v>0.34426229508196721</v>
      </c>
      <c r="BA50" s="287">
        <v>400000</v>
      </c>
      <c r="BB50" s="287">
        <f t="shared" si="12"/>
        <v>66666.666666666672</v>
      </c>
      <c r="BC50" s="9"/>
    </row>
    <row r="51" spans="1:55" ht="15.75" thickBot="1" x14ac:dyDescent="0.3">
      <c r="A51" s="77" t="s">
        <v>1137</v>
      </c>
      <c r="B51" s="77" t="s">
        <v>1138</v>
      </c>
      <c r="C51" s="97" t="s">
        <v>180</v>
      </c>
      <c r="D51" s="281"/>
      <c r="E51" s="278"/>
      <c r="F51" s="275" t="s">
        <v>180</v>
      </c>
      <c r="G51" s="19"/>
      <c r="H51" s="19" t="s">
        <v>57</v>
      </c>
      <c r="I51" s="20"/>
      <c r="J51" s="45"/>
      <c r="K51" s="29" t="s">
        <v>309</v>
      </c>
      <c r="L51" s="98">
        <v>54</v>
      </c>
      <c r="M51" s="19">
        <v>14</v>
      </c>
      <c r="N51" s="19"/>
      <c r="O51" s="291">
        <v>2</v>
      </c>
      <c r="P51" s="278"/>
      <c r="Q51" s="293"/>
      <c r="R51" s="99" t="str">
        <f>IF(G51="x",1,"")</f>
        <v/>
      </c>
      <c r="S51" s="100">
        <f t="shared" si="20"/>
        <v>16</v>
      </c>
      <c r="T51" s="101">
        <f>IF($C51="",0,VLOOKUP($C51,[4]Hoja1!$C$11:$D$27,2,FALSE)*M51)+IF($D51="",0,VLOOKUP($D51,[4]Hoja1!$C$11:$D$27,2,FALSE)*N51)+IF($F51="",0,VLOOKUP($F51,[4]Hoja1!$C$11:$D$27,2,FALSE)*O51)+IF(R51="",0,R51*0.5)</f>
        <v>4.8</v>
      </c>
      <c r="U51" s="19" t="s">
        <v>291</v>
      </c>
      <c r="V51" s="19"/>
      <c r="W51" s="102">
        <v>1.5</v>
      </c>
      <c r="X51" s="19"/>
      <c r="Y51" s="19">
        <v>3</v>
      </c>
      <c r="Z51" s="19"/>
      <c r="AA51" s="19"/>
      <c r="AB51" s="19"/>
      <c r="AC51" s="103">
        <v>2</v>
      </c>
      <c r="AD51" s="103"/>
      <c r="AE51" s="19"/>
      <c r="AF51" s="104">
        <v>0.5</v>
      </c>
      <c r="AG51" s="29" t="s">
        <v>577</v>
      </c>
      <c r="AH51" s="105">
        <f>SUM(T51:AG51)</f>
        <v>11.8</v>
      </c>
      <c r="AI51" s="38"/>
      <c r="AJ51" s="22">
        <v>10</v>
      </c>
      <c r="AK51" s="22"/>
      <c r="AL51" s="104"/>
      <c r="AM51" s="29"/>
      <c r="AN51" s="106">
        <f t="shared" si="29"/>
        <v>10</v>
      </c>
      <c r="AO51" s="39"/>
      <c r="AP51" s="39"/>
      <c r="AQ51" s="107">
        <f t="shared" si="3"/>
        <v>0</v>
      </c>
      <c r="AR51" s="34">
        <f t="shared" si="22"/>
        <v>37.799999999999997</v>
      </c>
      <c r="AS51" s="396">
        <f t="shared" si="23"/>
        <v>16.200000000000003</v>
      </c>
      <c r="AT51" s="355">
        <v>40.299999999999997</v>
      </c>
      <c r="AU51" s="356">
        <f t="shared" si="24"/>
        <v>10.666666666666666</v>
      </c>
      <c r="AV51" s="386">
        <f t="shared" si="25"/>
        <v>6.666666666666667</v>
      </c>
      <c r="AW51" s="358">
        <f t="shared" si="26"/>
        <v>0</v>
      </c>
      <c r="AX51" s="356">
        <f t="shared" si="9"/>
        <v>22.966666666666665</v>
      </c>
      <c r="AY51" s="387">
        <f t="shared" si="10"/>
        <v>0.31714568880079286</v>
      </c>
      <c r="AZ51" s="388">
        <f t="shared" si="11"/>
        <v>0.68285431119920714</v>
      </c>
      <c r="BA51" s="287">
        <v>3813719</v>
      </c>
      <c r="BB51" s="287">
        <f t="shared" si="12"/>
        <v>70624.425925925927</v>
      </c>
      <c r="BC51" s="9"/>
    </row>
    <row r="52" spans="1:55" ht="15.75" thickBot="1" x14ac:dyDescent="0.3">
      <c r="A52" s="77" t="s">
        <v>1139</v>
      </c>
      <c r="B52" s="77" t="s">
        <v>1140</v>
      </c>
      <c r="C52" s="97" t="s">
        <v>126</v>
      </c>
      <c r="D52" s="281"/>
      <c r="E52" s="278"/>
      <c r="F52" s="275"/>
      <c r="G52" s="19"/>
      <c r="H52" s="19"/>
      <c r="I52" s="20"/>
      <c r="J52" s="45"/>
      <c r="K52" s="29" t="s">
        <v>309</v>
      </c>
      <c r="L52" s="98">
        <v>54</v>
      </c>
      <c r="M52" s="19">
        <v>23</v>
      </c>
      <c r="N52" s="19"/>
      <c r="O52" s="291"/>
      <c r="P52" s="278"/>
      <c r="Q52" s="293"/>
      <c r="R52" s="99" t="str">
        <f>IF(G52="x",1,"")</f>
        <v/>
      </c>
      <c r="S52" s="100">
        <f t="shared" si="20"/>
        <v>23</v>
      </c>
      <c r="T52" s="101">
        <f>IF($C52="",0,VLOOKUP($C52,[4]Hoja1!$C$11:$D$27,2,FALSE)*M52)+IF($D52="",0,VLOOKUP($D52,[4]Hoja1!$C$11:$D$27,2,FALSE)*N52)+IF($F52="",0,VLOOKUP($F52,[4]Hoja1!$C$11:$D$27,2,FALSE)*O52)+IF(R52="",0,R52*0.5)</f>
        <v>6.8999999999999995</v>
      </c>
      <c r="U52" s="19" t="s">
        <v>291</v>
      </c>
      <c r="V52" s="19"/>
      <c r="W52" s="102"/>
      <c r="X52" s="19"/>
      <c r="Y52" s="19">
        <v>4</v>
      </c>
      <c r="Z52" s="19"/>
      <c r="AA52" s="19"/>
      <c r="AB52" s="19">
        <v>1</v>
      </c>
      <c r="AC52" s="103"/>
      <c r="AD52" s="103">
        <v>1</v>
      </c>
      <c r="AE52" s="19"/>
      <c r="AF52" s="104">
        <v>0.5</v>
      </c>
      <c r="AG52" s="29" t="s">
        <v>577</v>
      </c>
      <c r="AH52" s="105">
        <f t="shared" ref="AH52:AH60" si="30">SUM(T52:AF52)</f>
        <v>13.399999999999999</v>
      </c>
      <c r="AI52" s="38"/>
      <c r="AJ52" s="22"/>
      <c r="AK52" s="22"/>
      <c r="AL52" s="104"/>
      <c r="AM52" s="29"/>
      <c r="AN52" s="106">
        <f t="shared" si="29"/>
        <v>0</v>
      </c>
      <c r="AO52" s="39"/>
      <c r="AP52" s="39"/>
      <c r="AQ52" s="107">
        <f t="shared" si="3"/>
        <v>0</v>
      </c>
      <c r="AR52" s="34">
        <f t="shared" si="22"/>
        <v>36.4</v>
      </c>
      <c r="AS52" s="396">
        <f t="shared" si="23"/>
        <v>17.600000000000001</v>
      </c>
      <c r="AT52" s="355">
        <v>40.450000000000003</v>
      </c>
      <c r="AU52" s="356">
        <f t="shared" si="24"/>
        <v>16</v>
      </c>
      <c r="AV52" s="386">
        <f t="shared" si="25"/>
        <v>0</v>
      </c>
      <c r="AW52" s="358">
        <f t="shared" si="26"/>
        <v>0</v>
      </c>
      <c r="AX52" s="356">
        <f t="shared" si="9"/>
        <v>24.450000000000003</v>
      </c>
      <c r="AY52" s="387">
        <f t="shared" si="10"/>
        <v>0.39555006180469715</v>
      </c>
      <c r="AZ52" s="388">
        <f t="shared" si="11"/>
        <v>0.6044499381953029</v>
      </c>
      <c r="BA52" s="287">
        <v>2470857</v>
      </c>
      <c r="BB52" s="287">
        <f t="shared" si="12"/>
        <v>45756.611111111109</v>
      </c>
      <c r="BC52" s="9"/>
    </row>
    <row r="53" spans="1:55" ht="15.75" thickBot="1" x14ac:dyDescent="0.3">
      <c r="A53" s="77" t="s">
        <v>593</v>
      </c>
      <c r="B53" s="77" t="s">
        <v>594</v>
      </c>
      <c r="C53" s="97" t="s">
        <v>595</v>
      </c>
      <c r="D53" s="281"/>
      <c r="E53" s="278"/>
      <c r="F53" s="275" t="s">
        <v>595</v>
      </c>
      <c r="G53" s="19" t="s">
        <v>57</v>
      </c>
      <c r="H53" s="19"/>
      <c r="I53" s="20" t="s">
        <v>57</v>
      </c>
      <c r="J53" s="45" t="s">
        <v>155</v>
      </c>
      <c r="K53" s="29" t="s">
        <v>290</v>
      </c>
      <c r="L53" s="98">
        <v>54</v>
      </c>
      <c r="M53" s="19">
        <v>8</v>
      </c>
      <c r="N53" s="19"/>
      <c r="O53" s="291">
        <v>6</v>
      </c>
      <c r="P53" s="278"/>
      <c r="Q53" s="293"/>
      <c r="R53" s="99">
        <v>1.25</v>
      </c>
      <c r="S53" s="100">
        <f t="shared" si="20"/>
        <v>15.25</v>
      </c>
      <c r="T53" s="101">
        <f>IF($C53="",0,VLOOKUP($C53,[4]Hoja1!$C$11:$D$27,2,FALSE)*M53)+IF($D53="",0,VLOOKUP($D53,[4]Hoja1!$C$11:$D$27,2,FALSE)*N53)+IF($F53="",0,VLOOKUP($F53,[4]Hoja1!$C$11:$D$27,2,FALSE)*O53)+IF(R53="",0,R53*0.5)</f>
        <v>7.625</v>
      </c>
      <c r="U53" s="19">
        <v>8</v>
      </c>
      <c r="V53" s="19">
        <v>5</v>
      </c>
      <c r="W53" s="102">
        <v>1.5</v>
      </c>
      <c r="X53" s="19"/>
      <c r="Y53" s="19"/>
      <c r="Z53" s="19"/>
      <c r="AA53" s="19"/>
      <c r="AB53" s="19">
        <v>3</v>
      </c>
      <c r="AC53" s="103"/>
      <c r="AD53" s="103">
        <v>1</v>
      </c>
      <c r="AE53" s="19">
        <v>0.5</v>
      </c>
      <c r="AF53" s="104">
        <v>0.5</v>
      </c>
      <c r="AG53" s="29" t="s">
        <v>577</v>
      </c>
      <c r="AH53" s="105">
        <f t="shared" si="30"/>
        <v>27.125</v>
      </c>
      <c r="AI53" s="38">
        <v>12</v>
      </c>
      <c r="AJ53" s="22"/>
      <c r="AK53" s="22"/>
      <c r="AL53" s="104"/>
      <c r="AM53" s="29"/>
      <c r="AN53" s="106">
        <f t="shared" si="29"/>
        <v>12</v>
      </c>
      <c r="AO53" s="39"/>
      <c r="AP53" s="39"/>
      <c r="AQ53" s="107">
        <f t="shared" si="3"/>
        <v>0</v>
      </c>
      <c r="AR53" s="34">
        <f t="shared" si="22"/>
        <v>54.375</v>
      </c>
      <c r="AS53" s="396">
        <f t="shared" si="23"/>
        <v>-0.375</v>
      </c>
      <c r="AT53" s="355">
        <v>40.299999999999997</v>
      </c>
      <c r="AU53" s="356">
        <f t="shared" si="24"/>
        <v>12.166666666666666</v>
      </c>
      <c r="AV53" s="386">
        <f t="shared" si="25"/>
        <v>8</v>
      </c>
      <c r="AW53" s="358">
        <f t="shared" si="26"/>
        <v>0</v>
      </c>
      <c r="AX53" s="356">
        <f t="shared" si="9"/>
        <v>20.133333333333333</v>
      </c>
      <c r="AY53" s="359">
        <f t="shared" si="10"/>
        <v>0.37667698658410737</v>
      </c>
      <c r="AZ53" s="360">
        <f t="shared" si="11"/>
        <v>0.62332301341589269</v>
      </c>
      <c r="BA53" s="287">
        <v>2150657</v>
      </c>
      <c r="BB53" s="287">
        <f t="shared" si="12"/>
        <v>39826.981481481482</v>
      </c>
      <c r="BC53" s="9"/>
    </row>
    <row r="54" spans="1:55" ht="15.75" thickBot="1" x14ac:dyDescent="0.3">
      <c r="A54" s="77" t="s">
        <v>1141</v>
      </c>
      <c r="B54" s="77" t="s">
        <v>1142</v>
      </c>
      <c r="C54" s="97" t="s">
        <v>54</v>
      </c>
      <c r="D54" s="281"/>
      <c r="E54" s="278"/>
      <c r="F54" s="275" t="s">
        <v>54</v>
      </c>
      <c r="G54" s="19"/>
      <c r="H54" s="19"/>
      <c r="I54" s="20"/>
      <c r="J54" s="45"/>
      <c r="K54" s="29" t="s">
        <v>318</v>
      </c>
      <c r="L54" s="98">
        <v>44</v>
      </c>
      <c r="M54" s="19">
        <v>14</v>
      </c>
      <c r="N54" s="19"/>
      <c r="O54" s="291">
        <v>2</v>
      </c>
      <c r="P54" s="278"/>
      <c r="Q54" s="293"/>
      <c r="R54" s="99" t="str">
        <f>IF(G54="x",1,"")</f>
        <v/>
      </c>
      <c r="S54" s="100">
        <f t="shared" si="20"/>
        <v>16</v>
      </c>
      <c r="T54" s="101">
        <f>IF($C54="",0,VLOOKUP($C54,[4]Hoja1!$C$11:$D$27,2,FALSE)*M54)+IF($D54="",0,VLOOKUP($D54,[4]Hoja1!$C$11:$D$27,2,FALSE)*N54)+IF($F54="",0,VLOOKUP($F54,[4]Hoja1!$C$11:$D$27,2,FALSE)*O54)+IF(R54="",0,R54*0.5)</f>
        <v>8</v>
      </c>
      <c r="U54" s="19" t="s">
        <v>291</v>
      </c>
      <c r="V54" s="19"/>
      <c r="W54" s="102"/>
      <c r="X54" s="19"/>
      <c r="Y54" s="19"/>
      <c r="Z54" s="19"/>
      <c r="AA54" s="19"/>
      <c r="AB54" s="19"/>
      <c r="AC54" s="103"/>
      <c r="AD54" s="103">
        <v>2</v>
      </c>
      <c r="AE54" s="19"/>
      <c r="AF54" s="104"/>
      <c r="AG54" s="29"/>
      <c r="AH54" s="105">
        <f t="shared" si="30"/>
        <v>10</v>
      </c>
      <c r="AI54" s="38"/>
      <c r="AJ54" s="22"/>
      <c r="AK54" s="22"/>
      <c r="AL54" s="104"/>
      <c r="AM54" s="29"/>
      <c r="AN54" s="106">
        <f t="shared" si="29"/>
        <v>0</v>
      </c>
      <c r="AO54" s="39"/>
      <c r="AP54" s="39"/>
      <c r="AQ54" s="107">
        <f t="shared" si="3"/>
        <v>0</v>
      </c>
      <c r="AR54" s="34">
        <f t="shared" si="22"/>
        <v>26</v>
      </c>
      <c r="AS54" s="396">
        <f t="shared" si="23"/>
        <v>18</v>
      </c>
      <c r="AT54" s="355">
        <v>31.266666666666666</v>
      </c>
      <c r="AU54" s="356">
        <f t="shared" si="24"/>
        <v>10.666666666666666</v>
      </c>
      <c r="AV54" s="386">
        <f t="shared" si="25"/>
        <v>0</v>
      </c>
      <c r="AW54" s="358">
        <f t="shared" si="26"/>
        <v>0</v>
      </c>
      <c r="AX54" s="356">
        <f t="shared" si="9"/>
        <v>20.6</v>
      </c>
      <c r="AY54" s="387">
        <f t="shared" si="10"/>
        <v>0.34115138592750532</v>
      </c>
      <c r="AZ54" s="388">
        <f t="shared" si="11"/>
        <v>0.65884861407249473</v>
      </c>
      <c r="BA54" s="287">
        <v>1400000</v>
      </c>
      <c r="BB54" s="287">
        <f t="shared" si="12"/>
        <v>31818.18181818182</v>
      </c>
      <c r="BC54" s="9"/>
    </row>
    <row r="55" spans="1:55" ht="15.75" thickBot="1" x14ac:dyDescent="0.3">
      <c r="A55" s="77" t="s">
        <v>596</v>
      </c>
      <c r="B55" s="77" t="s">
        <v>597</v>
      </c>
      <c r="C55" s="97" t="s">
        <v>295</v>
      </c>
      <c r="D55" s="281"/>
      <c r="E55" s="278"/>
      <c r="F55" s="275"/>
      <c r="G55" s="19" t="s">
        <v>57</v>
      </c>
      <c r="H55" s="19"/>
      <c r="I55" s="20"/>
      <c r="J55" s="45"/>
      <c r="K55" s="29" t="s">
        <v>290</v>
      </c>
      <c r="L55" s="98">
        <v>54</v>
      </c>
      <c r="M55" s="19">
        <v>18</v>
      </c>
      <c r="N55" s="19"/>
      <c r="O55" s="291"/>
      <c r="P55" s="278"/>
      <c r="Q55" s="293"/>
      <c r="R55" s="99">
        <v>1.25</v>
      </c>
      <c r="S55" s="100">
        <f t="shared" si="20"/>
        <v>19.25</v>
      </c>
      <c r="T55" s="101">
        <f>IF($C55="",0,VLOOKUP($C55,[4]Hoja1!$C$11:$D$27,2,FALSE)*M55)+IF($D55="",0,VLOOKUP($D55,[4]Hoja1!$C$11:$D$27,2,FALSE)*N55)+IF($F55="",0,VLOOKUP($F55,[4]Hoja1!$C$11:$D$27,2,FALSE)*O55)+IF(R55="",0,R55*0.5)</f>
        <v>9.625</v>
      </c>
      <c r="U55" s="19">
        <v>8</v>
      </c>
      <c r="V55" s="19">
        <v>5</v>
      </c>
      <c r="W55" s="102">
        <v>1.5</v>
      </c>
      <c r="X55" s="102">
        <v>1.5</v>
      </c>
      <c r="Y55" s="19"/>
      <c r="Z55" s="19">
        <v>4</v>
      </c>
      <c r="AA55" s="19"/>
      <c r="AB55" s="19">
        <v>3</v>
      </c>
      <c r="AC55" s="103">
        <v>1</v>
      </c>
      <c r="AD55" s="103"/>
      <c r="AE55" s="19">
        <v>0.5</v>
      </c>
      <c r="AF55" s="104">
        <v>0.5</v>
      </c>
      <c r="AG55" s="29" t="s">
        <v>577</v>
      </c>
      <c r="AH55" s="105">
        <f t="shared" si="30"/>
        <v>34.625</v>
      </c>
      <c r="AI55" s="38"/>
      <c r="AJ55" s="22"/>
      <c r="AK55" s="22"/>
      <c r="AL55" s="104"/>
      <c r="AM55" s="29"/>
      <c r="AN55" s="106">
        <f t="shared" si="29"/>
        <v>0</v>
      </c>
      <c r="AO55" s="39"/>
      <c r="AP55" s="39"/>
      <c r="AQ55" s="107">
        <f t="shared" si="3"/>
        <v>0</v>
      </c>
      <c r="AR55" s="34">
        <f t="shared" si="22"/>
        <v>53.875</v>
      </c>
      <c r="AS55" s="396">
        <f t="shared" si="23"/>
        <v>0.125</v>
      </c>
      <c r="AT55" s="355">
        <v>40.266666666666666</v>
      </c>
      <c r="AU55" s="356">
        <f t="shared" si="24"/>
        <v>14.833333333333334</v>
      </c>
      <c r="AV55" s="386">
        <f t="shared" si="25"/>
        <v>0</v>
      </c>
      <c r="AW55" s="358">
        <f t="shared" si="26"/>
        <v>0</v>
      </c>
      <c r="AX55" s="356">
        <f t="shared" si="9"/>
        <v>25.43333333333333</v>
      </c>
      <c r="AY55" s="359">
        <f t="shared" si="10"/>
        <v>0.36837748344370863</v>
      </c>
      <c r="AZ55" s="360">
        <f t="shared" si="11"/>
        <v>0.63162251655629131</v>
      </c>
      <c r="BA55" s="287">
        <v>2818211</v>
      </c>
      <c r="BB55" s="287">
        <f t="shared" si="12"/>
        <v>52189.092592592591</v>
      </c>
      <c r="BC55" s="9"/>
    </row>
    <row r="56" spans="1:55" ht="15.75" thickBot="1" x14ac:dyDescent="0.3">
      <c r="A56" s="77" t="s">
        <v>1143</v>
      </c>
      <c r="B56" s="77" t="s">
        <v>1144</v>
      </c>
      <c r="C56" s="97" t="s">
        <v>126</v>
      </c>
      <c r="D56" s="281"/>
      <c r="E56" s="278"/>
      <c r="F56" s="296"/>
      <c r="G56" s="19"/>
      <c r="H56" s="19" t="s">
        <v>57</v>
      </c>
      <c r="I56" s="20"/>
      <c r="J56" s="45"/>
      <c r="K56" s="29" t="s">
        <v>309</v>
      </c>
      <c r="L56" s="98">
        <v>54</v>
      </c>
      <c r="M56" s="19">
        <v>13</v>
      </c>
      <c r="N56" s="19"/>
      <c r="O56" s="291"/>
      <c r="P56" s="278"/>
      <c r="Q56" s="293"/>
      <c r="R56" s="99" t="str">
        <f>IF(G56="x",1,"")</f>
        <v/>
      </c>
      <c r="S56" s="100">
        <f t="shared" si="20"/>
        <v>13</v>
      </c>
      <c r="T56" s="101">
        <f>IF($C56="",0,VLOOKUP($C56,[4]Hoja1!$C$11:$D$27,2,FALSE)*M56)+IF($D56="",0,VLOOKUP($D56,[4]Hoja1!$C$11:$D$27,2,FALSE)*N56)+IF($F56="",0,VLOOKUP($F56,[4]Hoja1!$C$11:$D$27,2,FALSE)*O56)+IF(R56="",0,R56*0.5)</f>
        <v>3.9</v>
      </c>
      <c r="U56" s="19" t="s">
        <v>291</v>
      </c>
      <c r="V56" s="19"/>
      <c r="W56" s="102"/>
      <c r="X56" s="19"/>
      <c r="Y56" s="19">
        <v>4</v>
      </c>
      <c r="Z56" s="19"/>
      <c r="AA56" s="19"/>
      <c r="AB56" s="19">
        <v>1</v>
      </c>
      <c r="AC56" s="103"/>
      <c r="AD56" s="103"/>
      <c r="AE56" s="19"/>
      <c r="AF56" s="104">
        <v>0.5</v>
      </c>
      <c r="AG56" s="29" t="s">
        <v>577</v>
      </c>
      <c r="AH56" s="105">
        <f t="shared" si="30"/>
        <v>9.4</v>
      </c>
      <c r="AI56" s="38"/>
      <c r="AJ56" s="22">
        <v>20</v>
      </c>
      <c r="AK56" s="22"/>
      <c r="AL56" s="104"/>
      <c r="AM56" s="29"/>
      <c r="AN56" s="106">
        <f t="shared" si="29"/>
        <v>20</v>
      </c>
      <c r="AO56" s="39"/>
      <c r="AP56" s="39"/>
      <c r="AQ56" s="107">
        <f t="shared" si="3"/>
        <v>0</v>
      </c>
      <c r="AR56" s="34">
        <f t="shared" si="22"/>
        <v>42.4</v>
      </c>
      <c r="AS56" s="396">
        <f t="shared" si="23"/>
        <v>11.600000000000001</v>
      </c>
      <c r="AT56" s="355">
        <v>40.299999999999997</v>
      </c>
      <c r="AU56" s="356">
        <f t="shared" si="24"/>
        <v>9.3333333333333339</v>
      </c>
      <c r="AV56" s="386">
        <f t="shared" si="25"/>
        <v>13.333333333333334</v>
      </c>
      <c r="AW56" s="358">
        <f t="shared" si="26"/>
        <v>0</v>
      </c>
      <c r="AX56" s="356">
        <f t="shared" si="9"/>
        <v>17.633333333333326</v>
      </c>
      <c r="AY56" s="387">
        <f t="shared" si="10"/>
        <v>0.34610630407911008</v>
      </c>
      <c r="AZ56" s="388">
        <f t="shared" si="11"/>
        <v>0.65389369592088986</v>
      </c>
      <c r="BA56" s="287">
        <v>3834739</v>
      </c>
      <c r="BB56" s="287">
        <f t="shared" si="12"/>
        <v>71013.685185185182</v>
      </c>
      <c r="BC56" s="9"/>
    </row>
    <row r="57" spans="1:55" ht="15.75" thickBot="1" x14ac:dyDescent="0.3">
      <c r="A57" s="77" t="s">
        <v>598</v>
      </c>
      <c r="B57" s="77" t="s">
        <v>599</v>
      </c>
      <c r="C57" s="97" t="s">
        <v>61</v>
      </c>
      <c r="D57" s="281"/>
      <c r="E57" s="278"/>
      <c r="F57" s="275"/>
      <c r="G57" s="19" t="s">
        <v>57</v>
      </c>
      <c r="H57" s="19"/>
      <c r="I57" s="20"/>
      <c r="J57" s="45"/>
      <c r="K57" s="29" t="s">
        <v>318</v>
      </c>
      <c r="L57" s="98">
        <v>54</v>
      </c>
      <c r="M57" s="19">
        <v>13</v>
      </c>
      <c r="N57" s="19"/>
      <c r="O57" s="291"/>
      <c r="P57" s="278"/>
      <c r="Q57" s="293">
        <v>4</v>
      </c>
      <c r="R57" s="99">
        <v>1.25</v>
      </c>
      <c r="S57" s="100">
        <f t="shared" si="20"/>
        <v>18.25</v>
      </c>
      <c r="T57" s="101">
        <f>IF($C57="",0,VLOOKUP($C57,[4]Hoja1!$C$11:$D$27,2,FALSE)*M57)+IF($D57="",0,VLOOKUP($D57,[4]Hoja1!$C$11:$D$27,2,FALSE)*N57)+IF($F57="",0,VLOOKUP($F57,[4]Hoja1!$C$11:$D$27,2,FALSE)*O57)+IF(R57="",0,R57*0.5)</f>
        <v>7.125</v>
      </c>
      <c r="U57" s="19">
        <v>8</v>
      </c>
      <c r="V57" s="19">
        <v>8</v>
      </c>
      <c r="W57" s="102">
        <v>1.5</v>
      </c>
      <c r="X57" s="19"/>
      <c r="Y57" s="19"/>
      <c r="Z57" s="19"/>
      <c r="AA57" s="19"/>
      <c r="AB57" s="19">
        <v>3</v>
      </c>
      <c r="AC57" s="103"/>
      <c r="AD57" s="103">
        <v>1</v>
      </c>
      <c r="AE57" s="19">
        <v>0.5</v>
      </c>
      <c r="AF57" s="104">
        <v>4</v>
      </c>
      <c r="AG57" s="29" t="s">
        <v>555</v>
      </c>
      <c r="AH57" s="105">
        <f t="shared" si="30"/>
        <v>33.125</v>
      </c>
      <c r="AI57" s="38"/>
      <c r="AJ57" s="22"/>
      <c r="AK57" s="22"/>
      <c r="AL57" s="104"/>
      <c r="AM57" s="29"/>
      <c r="AN57" s="106">
        <f t="shared" si="29"/>
        <v>0</v>
      </c>
      <c r="AO57" s="39"/>
      <c r="AP57" s="39"/>
      <c r="AQ57" s="107">
        <f t="shared" si="3"/>
        <v>0</v>
      </c>
      <c r="AR57" s="34">
        <f t="shared" si="22"/>
        <v>51.375</v>
      </c>
      <c r="AS57" s="396">
        <f t="shared" si="23"/>
        <v>2.625</v>
      </c>
      <c r="AT57" s="355">
        <v>40.283333333333331</v>
      </c>
      <c r="AU57" s="356">
        <f t="shared" si="24"/>
        <v>14.166666666666666</v>
      </c>
      <c r="AV57" s="386">
        <f t="shared" si="25"/>
        <v>0</v>
      </c>
      <c r="AW57" s="358">
        <f t="shared" si="26"/>
        <v>0</v>
      </c>
      <c r="AX57" s="356">
        <f t="shared" si="9"/>
        <v>26.116666666666667</v>
      </c>
      <c r="AY57" s="359">
        <f t="shared" si="10"/>
        <v>0.35167563094745552</v>
      </c>
      <c r="AZ57" s="360">
        <f t="shared" si="11"/>
        <v>0.64832436905254454</v>
      </c>
      <c r="BA57" s="287">
        <v>1686250</v>
      </c>
      <c r="BB57" s="287">
        <f t="shared" si="12"/>
        <v>31226.85185185185</v>
      </c>
      <c r="BC57" s="9"/>
    </row>
    <row r="58" spans="1:55" ht="15.75" thickBot="1" x14ac:dyDescent="0.3">
      <c r="A58" s="77" t="s">
        <v>1145</v>
      </c>
      <c r="B58" s="77" t="s">
        <v>1146</v>
      </c>
      <c r="C58" s="97" t="s">
        <v>109</v>
      </c>
      <c r="D58" s="281"/>
      <c r="E58" s="278"/>
      <c r="F58" s="296"/>
      <c r="G58" s="19"/>
      <c r="H58" s="19"/>
      <c r="I58" s="20"/>
      <c r="J58" s="45"/>
      <c r="K58" s="29" t="s">
        <v>290</v>
      </c>
      <c r="L58" s="98">
        <v>54</v>
      </c>
      <c r="M58" s="19">
        <v>24</v>
      </c>
      <c r="N58" s="19"/>
      <c r="O58" s="291"/>
      <c r="P58" s="278"/>
      <c r="Q58" s="293"/>
      <c r="R58" s="99" t="str">
        <f>IF(G58="x",1,"")</f>
        <v/>
      </c>
      <c r="S58" s="100">
        <f t="shared" si="20"/>
        <v>24</v>
      </c>
      <c r="T58" s="101">
        <f>IF($C58="",0,VLOOKUP($C58,[4]Hoja1!$C$11:$D$27,2,FALSE)*M58)+IF($D58="",0,VLOOKUP($D58,[4]Hoja1!$C$11:$D$27,2,FALSE)*N58)+IF($F58="",0,VLOOKUP($F58,[4]Hoja1!$C$11:$D$27,2,FALSE)*O58)+IF(R58="",0,R58*0.5)</f>
        <v>12</v>
      </c>
      <c r="U58" s="19" t="s">
        <v>291</v>
      </c>
      <c r="V58" s="19"/>
      <c r="W58" s="102">
        <v>1.5</v>
      </c>
      <c r="X58" s="19"/>
      <c r="Y58" s="19"/>
      <c r="Z58" s="19"/>
      <c r="AA58" s="19"/>
      <c r="AB58" s="19">
        <v>1</v>
      </c>
      <c r="AC58" s="103">
        <v>1</v>
      </c>
      <c r="AD58" s="103"/>
      <c r="AE58" s="19">
        <v>0.5</v>
      </c>
      <c r="AF58" s="104">
        <v>0.5</v>
      </c>
      <c r="AG58" s="29" t="s">
        <v>577</v>
      </c>
      <c r="AH58" s="105">
        <f t="shared" si="30"/>
        <v>16.5</v>
      </c>
      <c r="AI58" s="38"/>
      <c r="AJ58" s="22"/>
      <c r="AK58" s="22"/>
      <c r="AL58" s="104"/>
      <c r="AM58" s="29"/>
      <c r="AN58" s="106">
        <f t="shared" si="29"/>
        <v>0</v>
      </c>
      <c r="AO58" s="39"/>
      <c r="AP58" s="39"/>
      <c r="AQ58" s="107">
        <f t="shared" si="3"/>
        <v>0</v>
      </c>
      <c r="AR58" s="34">
        <f t="shared" si="22"/>
        <v>40.5</v>
      </c>
      <c r="AS58" s="396">
        <f t="shared" si="23"/>
        <v>13.5</v>
      </c>
      <c r="AT58" s="355">
        <v>40.4</v>
      </c>
      <c r="AU58" s="356">
        <f t="shared" si="24"/>
        <v>16.666666666666668</v>
      </c>
      <c r="AV58" s="386">
        <f t="shared" si="25"/>
        <v>0</v>
      </c>
      <c r="AW58" s="358">
        <f t="shared" si="26"/>
        <v>0</v>
      </c>
      <c r="AX58" s="356">
        <f t="shared" si="9"/>
        <v>23.733333333333331</v>
      </c>
      <c r="AY58" s="387">
        <f t="shared" si="10"/>
        <v>0.41254125412541259</v>
      </c>
      <c r="AZ58" s="388">
        <f t="shared" si="11"/>
        <v>0.58745874587458746</v>
      </c>
      <c r="BA58" s="287">
        <v>2306250</v>
      </c>
      <c r="BB58" s="287">
        <f t="shared" si="12"/>
        <v>42708.333333333336</v>
      </c>
      <c r="BC58" s="9"/>
    </row>
    <row r="59" spans="1:55" ht="15.75" thickBot="1" x14ac:dyDescent="0.3">
      <c r="A59" s="77" t="s">
        <v>600</v>
      </c>
      <c r="B59" s="77" t="s">
        <v>601</v>
      </c>
      <c r="C59" s="97" t="s">
        <v>55</v>
      </c>
      <c r="D59" s="281"/>
      <c r="E59" s="278"/>
      <c r="F59" s="275" t="s">
        <v>55</v>
      </c>
      <c r="G59" s="19" t="s">
        <v>57</v>
      </c>
      <c r="H59" s="19"/>
      <c r="I59" s="20"/>
      <c r="J59" s="45"/>
      <c r="K59" s="29" t="s">
        <v>318</v>
      </c>
      <c r="L59" s="98">
        <v>54</v>
      </c>
      <c r="M59" s="19">
        <v>14</v>
      </c>
      <c r="N59" s="19"/>
      <c r="O59" s="291">
        <v>4</v>
      </c>
      <c r="P59" s="278"/>
      <c r="Q59" s="293"/>
      <c r="R59" s="99">
        <v>1.25</v>
      </c>
      <c r="S59" s="100">
        <f t="shared" si="20"/>
        <v>19.25</v>
      </c>
      <c r="T59" s="101">
        <f>IF($C59="",0,VLOOKUP($C59,[4]Hoja1!$C$11:$D$27,2,FALSE)*M59)+IF($D59="",0,VLOOKUP($D59,[4]Hoja1!$C$11:$D$27,2,FALSE)*N59)+IF($F59="",0,VLOOKUP($F59,[4]Hoja1!$C$11:$D$27,2,FALSE)*O59)+IF(R59="",0,R59*0.5)</f>
        <v>11.425000000000001</v>
      </c>
      <c r="U59" s="19">
        <v>8</v>
      </c>
      <c r="V59" s="19">
        <v>8</v>
      </c>
      <c r="W59" s="102">
        <v>1.5</v>
      </c>
      <c r="X59" s="102">
        <v>1.5</v>
      </c>
      <c r="Y59" s="19"/>
      <c r="Z59" s="19"/>
      <c r="AA59" s="19"/>
      <c r="AB59" s="19">
        <v>3</v>
      </c>
      <c r="AC59" s="103">
        <v>1</v>
      </c>
      <c r="AD59" s="103">
        <v>1</v>
      </c>
      <c r="AE59" s="19"/>
      <c r="AF59" s="104">
        <v>0.5</v>
      </c>
      <c r="AG59" s="29" t="s">
        <v>577</v>
      </c>
      <c r="AH59" s="105">
        <f t="shared" si="30"/>
        <v>35.924999999999997</v>
      </c>
      <c r="AI59" s="38"/>
      <c r="AJ59" s="22"/>
      <c r="AK59" s="22"/>
      <c r="AL59" s="104"/>
      <c r="AM59" s="29"/>
      <c r="AN59" s="106">
        <f t="shared" si="29"/>
        <v>0</v>
      </c>
      <c r="AO59" s="39"/>
      <c r="AP59" s="39"/>
      <c r="AQ59" s="107">
        <f t="shared" si="3"/>
        <v>0</v>
      </c>
      <c r="AR59" s="34">
        <f t="shared" si="22"/>
        <v>55.174999999999997</v>
      </c>
      <c r="AS59" s="396">
        <f t="shared" si="23"/>
        <v>-1.1749999999999972</v>
      </c>
      <c r="AT59" s="355">
        <v>40.266666666666666</v>
      </c>
      <c r="AU59" s="356">
        <f t="shared" si="24"/>
        <v>14.833333333333334</v>
      </c>
      <c r="AV59" s="386">
        <f t="shared" si="25"/>
        <v>0</v>
      </c>
      <c r="AW59" s="358">
        <f t="shared" si="26"/>
        <v>0</v>
      </c>
      <c r="AX59" s="356">
        <f t="shared" si="9"/>
        <v>25.43333333333333</v>
      </c>
      <c r="AY59" s="359">
        <f t="shared" si="10"/>
        <v>0.36837748344370863</v>
      </c>
      <c r="AZ59" s="360">
        <f t="shared" si="11"/>
        <v>0.63162251655629131</v>
      </c>
      <c r="BA59" s="287">
        <v>3012519</v>
      </c>
      <c r="BB59" s="287">
        <f t="shared" si="12"/>
        <v>55787.388888888891</v>
      </c>
      <c r="BC59" s="9"/>
    </row>
    <row r="60" spans="1:55" ht="15.75" thickBot="1" x14ac:dyDescent="0.3">
      <c r="A60" s="77" t="s">
        <v>602</v>
      </c>
      <c r="B60" s="77" t="s">
        <v>603</v>
      </c>
      <c r="C60" s="97" t="s">
        <v>64</v>
      </c>
      <c r="D60" s="281"/>
      <c r="E60" s="278"/>
      <c r="F60" s="296"/>
      <c r="G60" s="19" t="s">
        <v>57</v>
      </c>
      <c r="H60" s="19" t="s">
        <v>57</v>
      </c>
      <c r="I60" s="20" t="s">
        <v>57</v>
      </c>
      <c r="J60" s="45" t="s">
        <v>155</v>
      </c>
      <c r="K60" s="29" t="s">
        <v>303</v>
      </c>
      <c r="L60" s="98">
        <v>54</v>
      </c>
      <c r="M60" s="19"/>
      <c r="N60" s="19"/>
      <c r="O60" s="291"/>
      <c r="P60" s="278"/>
      <c r="Q60" s="293">
        <v>12</v>
      </c>
      <c r="R60" s="99">
        <v>1.25</v>
      </c>
      <c r="S60" s="100">
        <f t="shared" si="20"/>
        <v>13.25</v>
      </c>
      <c r="T60" s="101">
        <f>IF($C60="",0,VLOOKUP($C60,[4]Hoja1!$C$11:$D$27,2,FALSE)*M60)+IF($D60="",0,VLOOKUP($D60,[4]Hoja1!$C$11:$D$27,2,FALSE)*N60)+IF($F60="",0,VLOOKUP($F60,[4]Hoja1!$C$11:$D$27,2,FALSE)*O60)+IF(R60="",0,R60*0.5)</f>
        <v>0.625</v>
      </c>
      <c r="U60" s="19">
        <v>5</v>
      </c>
      <c r="V60" s="19"/>
      <c r="W60" s="102">
        <v>1.5</v>
      </c>
      <c r="X60" s="102">
        <v>1.5</v>
      </c>
      <c r="Y60" s="19"/>
      <c r="Z60" s="19"/>
      <c r="AA60" s="19"/>
      <c r="AB60" s="19"/>
      <c r="AC60" s="103">
        <v>1</v>
      </c>
      <c r="AD60" s="103">
        <v>0.75</v>
      </c>
      <c r="AE60" s="19">
        <v>0.5</v>
      </c>
      <c r="AF60" s="104">
        <f>M60*0.5+0.5</f>
        <v>0.5</v>
      </c>
      <c r="AG60" s="29" t="s">
        <v>538</v>
      </c>
      <c r="AH60" s="105">
        <f t="shared" si="30"/>
        <v>11.375</v>
      </c>
      <c r="AI60" s="38">
        <v>18</v>
      </c>
      <c r="AJ60" s="22">
        <v>2</v>
      </c>
      <c r="AK60" s="22"/>
      <c r="AL60" s="104"/>
      <c r="AM60" s="29"/>
      <c r="AN60" s="106">
        <f>SUM(AI60:AM60)</f>
        <v>20</v>
      </c>
      <c r="AO60" s="39"/>
      <c r="AP60" s="39"/>
      <c r="AQ60" s="107">
        <f t="shared" si="3"/>
        <v>0</v>
      </c>
      <c r="AR60" s="34">
        <f t="shared" si="22"/>
        <v>44.625</v>
      </c>
      <c r="AS60" s="396">
        <f t="shared" si="23"/>
        <v>9.375</v>
      </c>
      <c r="AT60" s="355">
        <v>40.233333333333334</v>
      </c>
      <c r="AU60" s="356">
        <f t="shared" si="24"/>
        <v>8.8333333333333339</v>
      </c>
      <c r="AV60" s="386">
        <f t="shared" si="25"/>
        <v>13.333333333333334</v>
      </c>
      <c r="AW60" s="358">
        <f t="shared" si="26"/>
        <v>0</v>
      </c>
      <c r="AX60" s="356">
        <f t="shared" si="9"/>
        <v>18.066666666666663</v>
      </c>
      <c r="AY60" s="359">
        <f t="shared" si="10"/>
        <v>0.3283767038413879</v>
      </c>
      <c r="AZ60" s="360">
        <f t="shared" si="11"/>
        <v>0.67162329615861205</v>
      </c>
      <c r="BA60" s="287">
        <v>2702734</v>
      </c>
      <c r="BB60" s="287">
        <f t="shared" si="12"/>
        <v>50050.629629629628</v>
      </c>
      <c r="BC60" s="9"/>
    </row>
    <row r="61" spans="1:55" ht="15.75" thickBot="1" x14ac:dyDescent="0.3">
      <c r="A61" s="77" t="s">
        <v>1147</v>
      </c>
      <c r="B61" s="77" t="s">
        <v>1148</v>
      </c>
      <c r="C61" s="97" t="s">
        <v>180</v>
      </c>
      <c r="D61" s="281"/>
      <c r="E61" s="278"/>
      <c r="F61" s="275" t="s">
        <v>180</v>
      </c>
      <c r="G61" s="19"/>
      <c r="H61" s="19"/>
      <c r="I61" s="20"/>
      <c r="J61" s="45"/>
      <c r="K61" s="29" t="s">
        <v>318</v>
      </c>
      <c r="L61" s="98">
        <v>47</v>
      </c>
      <c r="M61" s="19">
        <v>8</v>
      </c>
      <c r="N61" s="19"/>
      <c r="O61" s="291">
        <v>2</v>
      </c>
      <c r="P61" s="278"/>
      <c r="Q61" s="293"/>
      <c r="R61" s="99" t="str">
        <f>IF(G61="x",1,"")</f>
        <v/>
      </c>
      <c r="S61" s="100">
        <f t="shared" si="20"/>
        <v>10</v>
      </c>
      <c r="T61" s="101">
        <f>IF($C61="",0,VLOOKUP($C61,[4]Hoja1!$C$11:$D$27,2,FALSE)*M61)+IF($D61="",0,VLOOKUP($D61,[4]Hoja1!$C$11:$D$27,2,FALSE)*N61)+IF($F61="",0,VLOOKUP($F61,[4]Hoja1!$C$11:$D$27,2,FALSE)*O61)+IF(R61="",0,R61*0.5)</f>
        <v>3</v>
      </c>
      <c r="U61" s="19" t="s">
        <v>291</v>
      </c>
      <c r="V61" s="19"/>
      <c r="W61" s="102">
        <v>1.5</v>
      </c>
      <c r="X61" s="19"/>
      <c r="Y61" s="19"/>
      <c r="Z61" s="19"/>
      <c r="AA61" s="19"/>
      <c r="AB61" s="19">
        <v>2</v>
      </c>
      <c r="AC61" s="103"/>
      <c r="AD61" s="103">
        <v>2</v>
      </c>
      <c r="AE61" s="19">
        <v>0.5</v>
      </c>
      <c r="AF61" s="19">
        <v>15</v>
      </c>
      <c r="AG61" s="29" t="s">
        <v>1149</v>
      </c>
      <c r="AH61" s="105">
        <f>SUM(T61:AG61)</f>
        <v>24</v>
      </c>
      <c r="AI61" s="38"/>
      <c r="AJ61" s="22"/>
      <c r="AK61" s="22"/>
      <c r="AL61" s="19"/>
      <c r="AM61" s="29"/>
      <c r="AN61" s="106">
        <f t="shared" ref="AN61:AN62" si="31">SUM(AI61:AL61)</f>
        <v>0</v>
      </c>
      <c r="AO61" s="39"/>
      <c r="AP61" s="39"/>
      <c r="AQ61" s="107">
        <f t="shared" si="3"/>
        <v>0</v>
      </c>
      <c r="AR61" s="34">
        <f t="shared" si="22"/>
        <v>34</v>
      </c>
      <c r="AS61" s="396">
        <f t="shared" si="23"/>
        <v>13</v>
      </c>
      <c r="AT61" s="355">
        <v>34.200000000000003</v>
      </c>
      <c r="AU61" s="356">
        <f t="shared" si="24"/>
        <v>8</v>
      </c>
      <c r="AV61" s="386">
        <f t="shared" si="25"/>
        <v>0</v>
      </c>
      <c r="AW61" s="358">
        <f t="shared" si="26"/>
        <v>0</v>
      </c>
      <c r="AX61" s="356">
        <f t="shared" si="9"/>
        <v>26.200000000000003</v>
      </c>
      <c r="AY61" s="387">
        <f t="shared" si="10"/>
        <v>0.23391812865497075</v>
      </c>
      <c r="AZ61" s="388">
        <f t="shared" si="11"/>
        <v>0.76608187134502925</v>
      </c>
      <c r="BA61" s="287">
        <v>2390526</v>
      </c>
      <c r="BB61" s="287">
        <f t="shared" si="12"/>
        <v>50862.255319148935</v>
      </c>
      <c r="BC61" s="9"/>
    </row>
    <row r="62" spans="1:55" ht="15.75" thickBot="1" x14ac:dyDescent="0.3">
      <c r="A62" s="77" t="s">
        <v>1150</v>
      </c>
      <c r="B62" s="77" t="s">
        <v>1151</v>
      </c>
      <c r="C62" s="97" t="s">
        <v>109</v>
      </c>
      <c r="D62" s="281"/>
      <c r="E62" s="278"/>
      <c r="F62" s="296"/>
      <c r="G62" s="19"/>
      <c r="H62" s="19"/>
      <c r="I62" s="20"/>
      <c r="J62" s="45"/>
      <c r="K62" s="29" t="s">
        <v>318</v>
      </c>
      <c r="L62" s="98">
        <v>54</v>
      </c>
      <c r="M62" s="19">
        <v>24</v>
      </c>
      <c r="N62" s="19"/>
      <c r="O62" s="291"/>
      <c r="P62" s="278"/>
      <c r="Q62" s="293"/>
      <c r="R62" s="99" t="str">
        <f>IF(G62="x",1,"")</f>
        <v/>
      </c>
      <c r="S62" s="100">
        <f t="shared" si="20"/>
        <v>24</v>
      </c>
      <c r="T62" s="101">
        <f>IF($C62="",0,VLOOKUP($C62,[4]Hoja1!$C$11:$D$27,2,FALSE)*M62)+IF($D62="",0,VLOOKUP($D62,[4]Hoja1!$C$11:$D$27,2,FALSE)*N62)+IF($F62="",0,VLOOKUP($F62,[4]Hoja1!$C$11:$D$27,2,FALSE)*O62)+IF(R62="",0,R62*0.5)</f>
        <v>12</v>
      </c>
      <c r="U62" s="19" t="s">
        <v>291</v>
      </c>
      <c r="V62" s="19"/>
      <c r="W62" s="102">
        <v>1.5</v>
      </c>
      <c r="X62" s="19"/>
      <c r="Y62" s="19"/>
      <c r="Z62" s="19"/>
      <c r="AA62" s="19"/>
      <c r="AB62" s="19"/>
      <c r="AC62" s="103">
        <v>1</v>
      </c>
      <c r="AD62" s="103">
        <v>1</v>
      </c>
      <c r="AE62" s="19"/>
      <c r="AF62" s="104">
        <v>0.5</v>
      </c>
      <c r="AG62" s="29" t="s">
        <v>577</v>
      </c>
      <c r="AH62" s="105">
        <f t="shared" ref="AH62:AH69" si="32">SUM(T62:AF62)</f>
        <v>16</v>
      </c>
      <c r="AI62" s="38"/>
      <c r="AJ62" s="22"/>
      <c r="AK62" s="22"/>
      <c r="AL62" s="104"/>
      <c r="AM62" s="29"/>
      <c r="AN62" s="106">
        <f t="shared" si="31"/>
        <v>0</v>
      </c>
      <c r="AO62" s="39"/>
      <c r="AP62" s="39"/>
      <c r="AQ62" s="107">
        <f t="shared" si="3"/>
        <v>0</v>
      </c>
      <c r="AR62" s="34">
        <f t="shared" si="22"/>
        <v>40</v>
      </c>
      <c r="AS62" s="396">
        <f t="shared" si="23"/>
        <v>14</v>
      </c>
      <c r="AT62" s="355">
        <v>40.4</v>
      </c>
      <c r="AU62" s="356">
        <f t="shared" si="24"/>
        <v>16</v>
      </c>
      <c r="AV62" s="386">
        <f t="shared" si="25"/>
        <v>0</v>
      </c>
      <c r="AW62" s="358">
        <f t="shared" si="26"/>
        <v>0</v>
      </c>
      <c r="AX62" s="356">
        <f t="shared" si="9"/>
        <v>24.4</v>
      </c>
      <c r="AY62" s="387">
        <f t="shared" si="10"/>
        <v>0.39603960396039606</v>
      </c>
      <c r="AZ62" s="388">
        <f t="shared" si="11"/>
        <v>0.60396039603960394</v>
      </c>
      <c r="BA62" s="287">
        <v>1900000</v>
      </c>
      <c r="BB62" s="287">
        <f t="shared" si="12"/>
        <v>35185.185185185182</v>
      </c>
      <c r="BC62" s="9"/>
    </row>
    <row r="63" spans="1:55" ht="15.75" thickBot="1" x14ac:dyDescent="0.3">
      <c r="A63" s="77" t="s">
        <v>1152</v>
      </c>
      <c r="B63" s="77" t="s">
        <v>1153</v>
      </c>
      <c r="C63" s="97" t="s">
        <v>114</v>
      </c>
      <c r="D63" s="281"/>
      <c r="E63" s="278"/>
      <c r="F63" s="296"/>
      <c r="G63" s="19"/>
      <c r="H63" s="19" t="s">
        <v>57</v>
      </c>
      <c r="I63" s="20" t="s">
        <v>57</v>
      </c>
      <c r="J63" s="45" t="s">
        <v>302</v>
      </c>
      <c r="K63" s="29" t="s">
        <v>429</v>
      </c>
      <c r="L63" s="98">
        <v>54</v>
      </c>
      <c r="M63" s="19">
        <v>12</v>
      </c>
      <c r="N63" s="19"/>
      <c r="O63" s="291"/>
      <c r="P63" s="278"/>
      <c r="Q63" s="293">
        <v>4</v>
      </c>
      <c r="R63" s="99" t="str">
        <f>IF(G63="x",1,"")</f>
        <v/>
      </c>
      <c r="S63" s="100">
        <f t="shared" si="20"/>
        <v>16</v>
      </c>
      <c r="T63" s="101">
        <f>IF($C63="",0,VLOOKUP($C63,[4]Hoja1!$C$11:$D$27,2,FALSE)*M63)+IF($D63="",0,VLOOKUP($D63,[4]Hoja1!$C$11:$D$27,2,FALSE)*N63)+IF($F63="",0,VLOOKUP($F63,[4]Hoja1!$C$11:$D$27,2,FALSE)*O63)+IF(R63="",0,R63*0.5)</f>
        <v>6</v>
      </c>
      <c r="U63" s="19" t="s">
        <v>291</v>
      </c>
      <c r="V63" s="19"/>
      <c r="W63" s="102">
        <v>1.5</v>
      </c>
      <c r="X63" s="19"/>
      <c r="Y63" s="19"/>
      <c r="Z63" s="19"/>
      <c r="AA63" s="19"/>
      <c r="AB63" s="19">
        <v>2</v>
      </c>
      <c r="AC63" s="103">
        <v>1</v>
      </c>
      <c r="AD63" s="103">
        <v>1</v>
      </c>
      <c r="AE63" s="19">
        <v>0.5</v>
      </c>
      <c r="AF63" s="104">
        <f>M63*0.5+0.5</f>
        <v>6.5</v>
      </c>
      <c r="AG63" s="29" t="s">
        <v>538</v>
      </c>
      <c r="AH63" s="105">
        <f t="shared" si="32"/>
        <v>18.5</v>
      </c>
      <c r="AI63" s="38">
        <v>15</v>
      </c>
      <c r="AJ63" s="22">
        <v>10</v>
      </c>
      <c r="AK63" s="22"/>
      <c r="AL63" s="104"/>
      <c r="AM63" s="29"/>
      <c r="AN63" s="106">
        <f>SUM(AI63:AM63)</f>
        <v>25</v>
      </c>
      <c r="AO63" s="39"/>
      <c r="AP63" s="39"/>
      <c r="AQ63" s="107">
        <f t="shared" si="3"/>
        <v>0</v>
      </c>
      <c r="AR63" s="34">
        <f t="shared" si="22"/>
        <v>59.5</v>
      </c>
      <c r="AS63" s="396">
        <f t="shared" si="23"/>
        <v>-5.5</v>
      </c>
      <c r="AT63" s="355">
        <v>40.233333333333334</v>
      </c>
      <c r="AU63" s="356">
        <f t="shared" si="24"/>
        <v>12</v>
      </c>
      <c r="AV63" s="386">
        <f t="shared" si="25"/>
        <v>16.666666666666668</v>
      </c>
      <c r="AW63" s="358">
        <f t="shared" si="26"/>
        <v>0</v>
      </c>
      <c r="AX63" s="356">
        <f t="shared" si="9"/>
        <v>11.566666666666666</v>
      </c>
      <c r="AY63" s="387">
        <f t="shared" si="10"/>
        <v>0.50919377652050923</v>
      </c>
      <c r="AZ63" s="388">
        <f t="shared" si="11"/>
        <v>0.49080622347949082</v>
      </c>
      <c r="BA63" s="287">
        <v>3274160</v>
      </c>
      <c r="BB63" s="287">
        <f t="shared" si="12"/>
        <v>60632.592592592591</v>
      </c>
      <c r="BC63" s="9"/>
    </row>
    <row r="64" spans="1:55" ht="15.75" thickBot="1" x14ac:dyDescent="0.3">
      <c r="A64" s="77" t="s">
        <v>1154</v>
      </c>
      <c r="B64" s="77" t="s">
        <v>1155</v>
      </c>
      <c r="C64" s="97" t="s">
        <v>74</v>
      </c>
      <c r="D64" s="280" t="s">
        <v>56</v>
      </c>
      <c r="E64" s="278"/>
      <c r="F64" s="275" t="s">
        <v>74</v>
      </c>
      <c r="G64" s="19"/>
      <c r="H64" s="19"/>
      <c r="I64" s="20"/>
      <c r="J64" s="45"/>
      <c r="K64" s="29" t="s">
        <v>349</v>
      </c>
      <c r="L64" s="98">
        <v>32</v>
      </c>
      <c r="M64" s="19">
        <v>8</v>
      </c>
      <c r="N64" s="19"/>
      <c r="O64" s="291">
        <v>2</v>
      </c>
      <c r="P64" s="278"/>
      <c r="Q64" s="293"/>
      <c r="R64" s="99" t="str">
        <f>IF(G64="x",1,"")</f>
        <v/>
      </c>
      <c r="S64" s="100">
        <f t="shared" si="20"/>
        <v>10</v>
      </c>
      <c r="T64" s="101">
        <f>IF($C64="",0,VLOOKUP($C64,[4]Hoja1!$C$11:$D$27,2,FALSE)*M64)+IF($D64="",0,VLOOKUP($D64,[4]Hoja1!$C$11:$D$27,2,FALSE)*N64)+IF($F64="",0,VLOOKUP($F64,[4]Hoja1!$C$11:$D$27,2,FALSE)*O64)+IF(R64="",0,R64*0.5)</f>
        <v>5</v>
      </c>
      <c r="U64" s="19" t="s">
        <v>291</v>
      </c>
      <c r="V64" s="19"/>
      <c r="W64" s="102">
        <v>1.5</v>
      </c>
      <c r="X64" s="19"/>
      <c r="Y64" s="19"/>
      <c r="Z64" s="19"/>
      <c r="AA64" s="19"/>
      <c r="AB64" s="19">
        <v>2</v>
      </c>
      <c r="AC64" s="103"/>
      <c r="AD64" s="103"/>
      <c r="AE64" s="19">
        <v>1</v>
      </c>
      <c r="AF64" s="104">
        <v>0.5</v>
      </c>
      <c r="AG64" s="29" t="s">
        <v>577</v>
      </c>
      <c r="AH64" s="105">
        <f t="shared" si="32"/>
        <v>10</v>
      </c>
      <c r="AI64" s="38"/>
      <c r="AJ64" s="22"/>
      <c r="AK64" s="22"/>
      <c r="AL64" s="104"/>
      <c r="AM64" s="29"/>
      <c r="AN64" s="106">
        <f t="shared" ref="AN64:AN69" si="33">SUM(AI64:AL64)</f>
        <v>0</v>
      </c>
      <c r="AO64" s="39"/>
      <c r="AP64" s="39"/>
      <c r="AQ64" s="107">
        <f t="shared" si="3"/>
        <v>0</v>
      </c>
      <c r="AR64" s="34">
        <f t="shared" si="22"/>
        <v>20</v>
      </c>
      <c r="AS64" s="396">
        <f t="shared" si="23"/>
        <v>12</v>
      </c>
      <c r="AT64" s="355">
        <v>23.166666666666668</v>
      </c>
      <c r="AU64" s="356">
        <f t="shared" si="24"/>
        <v>8</v>
      </c>
      <c r="AV64" s="386">
        <f t="shared" si="25"/>
        <v>0</v>
      </c>
      <c r="AW64" s="358">
        <f t="shared" si="26"/>
        <v>0</v>
      </c>
      <c r="AX64" s="356">
        <f t="shared" si="9"/>
        <v>15.166666666666668</v>
      </c>
      <c r="AY64" s="387">
        <f t="shared" si="10"/>
        <v>0.34532374100719421</v>
      </c>
      <c r="AZ64" s="388">
        <f t="shared" si="11"/>
        <v>0.65467625899280579</v>
      </c>
      <c r="BA64" s="287">
        <v>984000</v>
      </c>
      <c r="BB64" s="287">
        <f t="shared" si="12"/>
        <v>30750</v>
      </c>
      <c r="BC64" s="9"/>
    </row>
    <row r="65" spans="1:55" ht="15.75" thickBot="1" x14ac:dyDescent="0.3">
      <c r="A65" s="77" t="s">
        <v>604</v>
      </c>
      <c r="B65" s="77" t="s">
        <v>605</v>
      </c>
      <c r="C65" s="97" t="s">
        <v>55</v>
      </c>
      <c r="D65" s="281"/>
      <c r="E65" s="278"/>
      <c r="F65" s="275" t="s">
        <v>55</v>
      </c>
      <c r="G65" s="19" t="s">
        <v>57</v>
      </c>
      <c r="H65" s="19" t="s">
        <v>57</v>
      </c>
      <c r="I65" s="20"/>
      <c r="J65" s="45"/>
      <c r="K65" s="29" t="s">
        <v>318</v>
      </c>
      <c r="L65" s="98">
        <v>54</v>
      </c>
      <c r="M65" s="19">
        <v>12</v>
      </c>
      <c r="N65" s="19"/>
      <c r="O65" s="291">
        <v>2</v>
      </c>
      <c r="P65" s="278"/>
      <c r="Q65" s="293"/>
      <c r="R65" s="99">
        <v>1.25</v>
      </c>
      <c r="S65" s="100">
        <f t="shared" si="20"/>
        <v>15.25</v>
      </c>
      <c r="T65" s="101">
        <f>IF($C65="",0,VLOOKUP($C65,[4]Hoja1!$C$11:$D$27,2,FALSE)*M65)+IF($D65="",0,VLOOKUP($D65,[4]Hoja1!$C$11:$D$27,2,FALSE)*N65)+IF($F65="",0,VLOOKUP($F65,[4]Hoja1!$C$11:$D$27,2,FALSE)*O65)+IF(R65="",0,R65*0.5)</f>
        <v>9.0249999999999986</v>
      </c>
      <c r="U65" s="19">
        <v>8</v>
      </c>
      <c r="V65" s="19">
        <v>8</v>
      </c>
      <c r="W65" s="102">
        <v>1.5</v>
      </c>
      <c r="X65" s="19"/>
      <c r="Y65" s="19"/>
      <c r="Z65" s="19"/>
      <c r="AA65" s="19"/>
      <c r="AB65" s="19">
        <v>3</v>
      </c>
      <c r="AC65" s="103">
        <v>2</v>
      </c>
      <c r="AD65" s="103">
        <v>1</v>
      </c>
      <c r="AE65" s="19"/>
      <c r="AF65" s="104"/>
      <c r="AG65" s="29"/>
      <c r="AH65" s="105">
        <f t="shared" si="32"/>
        <v>32.524999999999999</v>
      </c>
      <c r="AI65" s="38"/>
      <c r="AJ65" s="22">
        <v>8</v>
      </c>
      <c r="AK65" s="22"/>
      <c r="AL65" s="104"/>
      <c r="AM65" s="29"/>
      <c r="AN65" s="106">
        <f t="shared" si="33"/>
        <v>8</v>
      </c>
      <c r="AO65" s="39"/>
      <c r="AP65" s="39"/>
      <c r="AQ65" s="107">
        <f t="shared" si="3"/>
        <v>0</v>
      </c>
      <c r="AR65" s="34">
        <f t="shared" si="22"/>
        <v>55.774999999999999</v>
      </c>
      <c r="AS65" s="396">
        <f t="shared" si="23"/>
        <v>-1.7749999999999986</v>
      </c>
      <c r="AT65" s="355">
        <v>40.25</v>
      </c>
      <c r="AU65" s="356">
        <f t="shared" si="24"/>
        <v>12.166666666666666</v>
      </c>
      <c r="AV65" s="386">
        <f t="shared" si="25"/>
        <v>5.333333333333333</v>
      </c>
      <c r="AW65" s="358">
        <f t="shared" si="26"/>
        <v>0</v>
      </c>
      <c r="AX65" s="356">
        <f t="shared" si="9"/>
        <v>22.750000000000004</v>
      </c>
      <c r="AY65" s="359">
        <f t="shared" si="10"/>
        <v>0.34844868735083528</v>
      </c>
      <c r="AZ65" s="360">
        <f t="shared" si="11"/>
        <v>0.65155131264916466</v>
      </c>
      <c r="BA65" s="287">
        <v>2376732</v>
      </c>
      <c r="BB65" s="287">
        <f t="shared" si="12"/>
        <v>44013.555555555555</v>
      </c>
      <c r="BC65" s="9"/>
    </row>
    <row r="66" spans="1:55" ht="15.75" thickBot="1" x14ac:dyDescent="0.3">
      <c r="A66" s="77" t="s">
        <v>1156</v>
      </c>
      <c r="B66" s="77" t="s">
        <v>1157</v>
      </c>
      <c r="C66" s="97" t="s">
        <v>54</v>
      </c>
      <c r="D66" s="281"/>
      <c r="E66" s="278"/>
      <c r="F66" s="275" t="s">
        <v>54</v>
      </c>
      <c r="G66" s="19"/>
      <c r="H66" s="19"/>
      <c r="I66" s="20"/>
      <c r="J66" s="45"/>
      <c r="K66" s="29" t="s">
        <v>349</v>
      </c>
      <c r="L66" s="98">
        <v>44</v>
      </c>
      <c r="M66" s="19">
        <v>10</v>
      </c>
      <c r="N66" s="19"/>
      <c r="O66" s="291">
        <v>8</v>
      </c>
      <c r="P66" s="278"/>
      <c r="Q66" s="293"/>
      <c r="R66" s="99" t="str">
        <f>IF(G66="x",1,"")</f>
        <v/>
      </c>
      <c r="S66" s="100">
        <f t="shared" si="20"/>
        <v>18</v>
      </c>
      <c r="T66" s="101">
        <f>IF($C66="",0,VLOOKUP($C66,[4]Hoja1!$C$11:$D$27,2,FALSE)*M66)+IF($D66="",0,VLOOKUP($D66,[4]Hoja1!$C$11:$D$27,2,FALSE)*N66)+IF($F66="",0,VLOOKUP($F66,[4]Hoja1!$C$11:$D$27,2,FALSE)*O66)+IF(R66="",0,R66*0.5)</f>
        <v>9</v>
      </c>
      <c r="U66" s="19" t="s">
        <v>291</v>
      </c>
      <c r="V66" s="19"/>
      <c r="W66" s="102">
        <v>1.5</v>
      </c>
      <c r="X66" s="19"/>
      <c r="Y66" s="19"/>
      <c r="Z66" s="19"/>
      <c r="AA66" s="19"/>
      <c r="AB66" s="19"/>
      <c r="AC66" s="103"/>
      <c r="AD66" s="103"/>
      <c r="AE66" s="19">
        <v>1</v>
      </c>
      <c r="AF66" s="104">
        <v>0.5</v>
      </c>
      <c r="AG66" s="29" t="s">
        <v>577</v>
      </c>
      <c r="AH66" s="105">
        <f t="shared" si="32"/>
        <v>12</v>
      </c>
      <c r="AI66" s="38"/>
      <c r="AJ66" s="22"/>
      <c r="AK66" s="22"/>
      <c r="AL66" s="104"/>
      <c r="AM66" s="29"/>
      <c r="AN66" s="106">
        <f t="shared" si="33"/>
        <v>0</v>
      </c>
      <c r="AO66" s="39"/>
      <c r="AP66" s="39"/>
      <c r="AQ66" s="107">
        <f t="shared" si="3"/>
        <v>0</v>
      </c>
      <c r="AR66" s="34">
        <f t="shared" si="22"/>
        <v>30</v>
      </c>
      <c r="AS66" s="396">
        <f t="shared" si="23"/>
        <v>14</v>
      </c>
      <c r="AT66" s="355">
        <v>32.333333333333336</v>
      </c>
      <c r="AU66" s="356">
        <f t="shared" si="24"/>
        <v>12</v>
      </c>
      <c r="AV66" s="386">
        <f t="shared" si="25"/>
        <v>0</v>
      </c>
      <c r="AW66" s="358">
        <f t="shared" si="26"/>
        <v>0</v>
      </c>
      <c r="AX66" s="356">
        <f t="shared" si="9"/>
        <v>20.333333333333336</v>
      </c>
      <c r="AY66" s="387">
        <f t="shared" si="10"/>
        <v>0.37113402061855666</v>
      </c>
      <c r="AZ66" s="388">
        <f t="shared" si="11"/>
        <v>0.62886597938144329</v>
      </c>
      <c r="BA66" s="287">
        <v>2682410</v>
      </c>
      <c r="BB66" s="287">
        <f t="shared" si="12"/>
        <v>60963.86363636364</v>
      </c>
      <c r="BC66" s="9"/>
    </row>
    <row r="67" spans="1:55" ht="15.75" thickBot="1" x14ac:dyDescent="0.3">
      <c r="A67" s="77" t="s">
        <v>1158</v>
      </c>
      <c r="B67" s="77" t="s">
        <v>1159</v>
      </c>
      <c r="C67" s="97" t="s">
        <v>98</v>
      </c>
      <c r="D67" s="281"/>
      <c r="E67" s="278"/>
      <c r="F67" s="275" t="s">
        <v>98</v>
      </c>
      <c r="G67" s="19"/>
      <c r="H67" s="19"/>
      <c r="I67" s="20"/>
      <c r="J67" s="45"/>
      <c r="K67" s="29" t="s">
        <v>318</v>
      </c>
      <c r="L67" s="98">
        <v>54</v>
      </c>
      <c r="M67" s="19">
        <v>18</v>
      </c>
      <c r="N67" s="19"/>
      <c r="O67" s="291">
        <v>6</v>
      </c>
      <c r="P67" s="278"/>
      <c r="Q67" s="293"/>
      <c r="R67" s="99" t="str">
        <f>IF(G67="x",1,"")</f>
        <v/>
      </c>
      <c r="S67" s="100">
        <f t="shared" si="20"/>
        <v>24</v>
      </c>
      <c r="T67" s="101">
        <f>IF($C67="",0,VLOOKUP($C67,[4]Hoja1!$C$11:$D$27,2,FALSE)*M67)+IF($D67="",0,VLOOKUP($D67,[4]Hoja1!$C$11:$D$27,2,FALSE)*N67)+IF($F67="",0,VLOOKUP($F67,[4]Hoja1!$C$11:$D$27,2,FALSE)*O67)+IF(R67="",0,R67*0.5)</f>
        <v>12</v>
      </c>
      <c r="U67" s="19" t="s">
        <v>291</v>
      </c>
      <c r="V67" s="19"/>
      <c r="W67" s="102">
        <v>1.5</v>
      </c>
      <c r="X67" s="19">
        <v>3</v>
      </c>
      <c r="Y67" s="19"/>
      <c r="Z67" s="19"/>
      <c r="AA67" s="19"/>
      <c r="AB67" s="19">
        <v>1</v>
      </c>
      <c r="AC67" s="103">
        <v>2</v>
      </c>
      <c r="AD67" s="103"/>
      <c r="AE67" s="19">
        <v>0.5</v>
      </c>
      <c r="AF67" s="104"/>
      <c r="AG67" s="29"/>
      <c r="AH67" s="105">
        <f t="shared" si="32"/>
        <v>20</v>
      </c>
      <c r="AI67" s="38"/>
      <c r="AJ67" s="22"/>
      <c r="AK67" s="22"/>
      <c r="AL67" s="104"/>
      <c r="AM67" s="29"/>
      <c r="AN67" s="106">
        <f t="shared" si="33"/>
        <v>0</v>
      </c>
      <c r="AO67" s="39"/>
      <c r="AP67" s="39"/>
      <c r="AQ67" s="107">
        <f t="shared" si="3"/>
        <v>0</v>
      </c>
      <c r="AR67" s="34">
        <f t="shared" si="22"/>
        <v>44</v>
      </c>
      <c r="AS67" s="396">
        <f t="shared" si="23"/>
        <v>10</v>
      </c>
      <c r="AT67" s="355">
        <v>40.266666666666666</v>
      </c>
      <c r="AU67" s="356">
        <f t="shared" si="24"/>
        <v>16.666666666666668</v>
      </c>
      <c r="AV67" s="386">
        <f t="shared" si="25"/>
        <v>0</v>
      </c>
      <c r="AW67" s="358">
        <f t="shared" si="26"/>
        <v>0</v>
      </c>
      <c r="AX67" s="356">
        <f t="shared" si="9"/>
        <v>23.599999999999998</v>
      </c>
      <c r="AY67" s="387">
        <f t="shared" si="10"/>
        <v>0.41390728476821198</v>
      </c>
      <c r="AZ67" s="388">
        <f t="shared" si="11"/>
        <v>0.58609271523178808</v>
      </c>
      <c r="BA67" s="287">
        <v>2858812</v>
      </c>
      <c r="BB67" s="287">
        <f t="shared" si="12"/>
        <v>52940.962962962964</v>
      </c>
      <c r="BC67" s="9"/>
    </row>
    <row r="68" spans="1:55" ht="15.75" thickBot="1" x14ac:dyDescent="0.3">
      <c r="A68" s="77" t="s">
        <v>1160</v>
      </c>
      <c r="B68" s="77" t="s">
        <v>1161</v>
      </c>
      <c r="C68" s="97" t="s">
        <v>56</v>
      </c>
      <c r="D68" s="281"/>
      <c r="E68" s="278"/>
      <c r="F68" s="296"/>
      <c r="G68" s="19"/>
      <c r="H68" s="19"/>
      <c r="I68" s="20"/>
      <c r="J68" s="45"/>
      <c r="K68" s="29" t="s">
        <v>349</v>
      </c>
      <c r="L68" s="98">
        <v>6</v>
      </c>
      <c r="M68" s="19">
        <v>4</v>
      </c>
      <c r="N68" s="19"/>
      <c r="O68" s="291"/>
      <c r="P68" s="278"/>
      <c r="Q68" s="293"/>
      <c r="R68" s="99" t="str">
        <f>IF(G68="x",1,"")</f>
        <v/>
      </c>
      <c r="S68" s="100">
        <f t="shared" ref="S68:S69" si="34">SUM(M68:R68)</f>
        <v>4</v>
      </c>
      <c r="T68" s="101">
        <f>IF($C68="",0,VLOOKUP($C68,[4]Hoja1!$C$11:$D$27,2,FALSE)*M68)+IF($D68="",0,VLOOKUP($D68,[4]Hoja1!$C$11:$D$27,2,FALSE)*N68)+IF($F68="",0,VLOOKUP($F68,[4]Hoja1!$C$11:$D$27,2,FALSE)*O68)+IF(R68="",0,R68*0.5)</f>
        <v>2</v>
      </c>
      <c r="U68" s="19" t="s">
        <v>291</v>
      </c>
      <c r="V68" s="19"/>
      <c r="W68" s="102"/>
      <c r="X68" s="19"/>
      <c r="Y68" s="19"/>
      <c r="Z68" s="19"/>
      <c r="AA68" s="19"/>
      <c r="AB68" s="19"/>
      <c r="AC68" s="103"/>
      <c r="AD68" s="103"/>
      <c r="AE68" s="19"/>
      <c r="AF68" s="104"/>
      <c r="AG68" s="29"/>
      <c r="AH68" s="105">
        <f t="shared" si="32"/>
        <v>2</v>
      </c>
      <c r="AI68" s="38"/>
      <c r="AJ68" s="22"/>
      <c r="AK68" s="22"/>
      <c r="AL68" s="104"/>
      <c r="AM68" s="29"/>
      <c r="AN68" s="106">
        <f t="shared" si="33"/>
        <v>0</v>
      </c>
      <c r="AO68" s="39"/>
      <c r="AP68" s="39"/>
      <c r="AQ68" s="107">
        <f t="shared" si="3"/>
        <v>0</v>
      </c>
      <c r="AR68" s="34">
        <f t="shared" ref="AR68:AR69" si="35">+S68+AH68+AN68+AQ68</f>
        <v>6</v>
      </c>
      <c r="AS68" s="396">
        <f t="shared" ref="AS68:AS69" si="36">+L68-AR68</f>
        <v>0</v>
      </c>
      <c r="AT68" s="355">
        <v>3.0666666666666669</v>
      </c>
      <c r="AU68" s="356">
        <f t="shared" si="24"/>
        <v>2.6666666666666665</v>
      </c>
      <c r="AV68" s="386">
        <f t="shared" si="25"/>
        <v>0</v>
      </c>
      <c r="AW68" s="358">
        <f t="shared" si="26"/>
        <v>0</v>
      </c>
      <c r="AX68" s="356">
        <f t="shared" si="9"/>
        <v>0.40000000000000036</v>
      </c>
      <c r="AY68" s="387">
        <f t="shared" si="10"/>
        <v>0.86956521739130421</v>
      </c>
      <c r="AZ68" s="388">
        <f t="shared" si="11"/>
        <v>0.13043478260869576</v>
      </c>
      <c r="BA68" s="287">
        <v>400000</v>
      </c>
      <c r="BB68" s="287">
        <f t="shared" si="12"/>
        <v>66666.666666666672</v>
      </c>
      <c r="BC68" s="9"/>
    </row>
    <row r="69" spans="1:55" ht="15.75" thickBot="1" x14ac:dyDescent="0.3">
      <c r="A69" s="77" t="s">
        <v>1162</v>
      </c>
      <c r="B69" s="77" t="s">
        <v>1163</v>
      </c>
      <c r="C69" s="97" t="s">
        <v>55</v>
      </c>
      <c r="D69" s="281"/>
      <c r="E69" s="278"/>
      <c r="F69" s="275" t="s">
        <v>55</v>
      </c>
      <c r="G69" s="19"/>
      <c r="H69" s="19"/>
      <c r="I69" s="20"/>
      <c r="J69" s="45"/>
      <c r="K69" s="29" t="s">
        <v>349</v>
      </c>
      <c r="L69" s="98">
        <v>22</v>
      </c>
      <c r="M69" s="19"/>
      <c r="N69" s="19"/>
      <c r="O69" s="291">
        <v>4</v>
      </c>
      <c r="P69" s="278"/>
      <c r="Q69" s="293"/>
      <c r="R69" s="99" t="str">
        <f>IF(G69="x",1,"")</f>
        <v/>
      </c>
      <c r="S69" s="100">
        <f t="shared" si="34"/>
        <v>4</v>
      </c>
      <c r="T69" s="101">
        <f>IF($C69="",0,VLOOKUP($C69,[4]Hoja1!$C$11:$D$27,2,FALSE)*M69)+IF($D69="",0,VLOOKUP($D69,[4]Hoja1!$C$11:$D$27,2,FALSE)*N69)+IF($F69="",0,VLOOKUP($F69,[4]Hoja1!$C$11:$D$27,2,FALSE)*O69)+IF(R69="",0,R69*0.5)</f>
        <v>2.4</v>
      </c>
      <c r="U69" s="19" t="s">
        <v>291</v>
      </c>
      <c r="V69" s="19"/>
      <c r="W69" s="102"/>
      <c r="X69" s="19"/>
      <c r="Y69" s="19"/>
      <c r="Z69" s="19"/>
      <c r="AA69" s="19"/>
      <c r="AB69" s="19">
        <v>1</v>
      </c>
      <c r="AC69" s="103">
        <v>1</v>
      </c>
      <c r="AD69" s="103"/>
      <c r="AE69" s="19"/>
      <c r="AF69" s="104">
        <v>0.5</v>
      </c>
      <c r="AG69" s="29" t="s">
        <v>577</v>
      </c>
      <c r="AH69" s="105">
        <f t="shared" si="32"/>
        <v>4.9000000000000004</v>
      </c>
      <c r="AI69" s="38"/>
      <c r="AJ69" s="22"/>
      <c r="AK69" s="22"/>
      <c r="AL69" s="104"/>
      <c r="AM69" s="29"/>
      <c r="AN69" s="106">
        <f t="shared" si="33"/>
        <v>0</v>
      </c>
      <c r="AO69" s="39"/>
      <c r="AP69" s="39"/>
      <c r="AQ69" s="107">
        <f t="shared" si="3"/>
        <v>0</v>
      </c>
      <c r="AR69" s="34">
        <f t="shared" si="35"/>
        <v>8.9</v>
      </c>
      <c r="AS69" s="396">
        <f t="shared" si="36"/>
        <v>13.1</v>
      </c>
      <c r="AT69" s="362">
        <v>15.066666666666666</v>
      </c>
      <c r="AU69" s="363">
        <f t="shared" si="24"/>
        <v>3.3333333333333335</v>
      </c>
      <c r="AV69" s="383">
        <f t="shared" si="25"/>
        <v>0</v>
      </c>
      <c r="AW69" s="365">
        <f t="shared" si="26"/>
        <v>0</v>
      </c>
      <c r="AX69" s="363">
        <f t="shared" ref="AX69" si="37">+AT69-AU69-AV69-AW69</f>
        <v>11.733333333333333</v>
      </c>
      <c r="AY69" s="384">
        <f t="shared" ref="AY69" si="38">+AU69/(AU69+AX69)</f>
        <v>0.22123893805309736</v>
      </c>
      <c r="AZ69" s="385">
        <f t="shared" ref="AZ69" si="39">+AX69/(AU69+AX69)</f>
        <v>0.77876106194690264</v>
      </c>
      <c r="BA69" s="287">
        <v>615000</v>
      </c>
      <c r="BB69" s="287">
        <f t="shared" ref="BB69" si="40">+BA69/L69</f>
        <v>27954.545454545456</v>
      </c>
      <c r="BC69" s="9"/>
    </row>
    <row r="70" spans="1:55" x14ac:dyDescent="0.25">
      <c r="L70" s="298">
        <f>SUM(L4:L69)</f>
        <v>3169</v>
      </c>
      <c r="M70" s="298">
        <f t="shared" ref="M70:AX70" si="41">SUM(M4:M69)</f>
        <v>881</v>
      </c>
      <c r="N70" s="298">
        <f t="shared" si="41"/>
        <v>38</v>
      </c>
      <c r="O70" s="298">
        <f t="shared" si="41"/>
        <v>122</v>
      </c>
      <c r="P70" s="298">
        <f t="shared" si="41"/>
        <v>0</v>
      </c>
      <c r="Q70" s="298">
        <f t="shared" si="41"/>
        <v>102</v>
      </c>
      <c r="R70" s="298">
        <f t="shared" si="41"/>
        <v>53.5</v>
      </c>
      <c r="S70" s="298">
        <f t="shared" si="41"/>
        <v>1196.5</v>
      </c>
      <c r="T70" s="298">
        <f t="shared" si="41"/>
        <v>514.44999999999993</v>
      </c>
      <c r="U70" s="298">
        <f t="shared" si="41"/>
        <v>198</v>
      </c>
      <c r="V70" s="298">
        <f t="shared" si="41"/>
        <v>104</v>
      </c>
      <c r="W70" s="298">
        <f t="shared" si="41"/>
        <v>76.5</v>
      </c>
      <c r="X70" s="298">
        <f t="shared" si="41"/>
        <v>31.5</v>
      </c>
      <c r="Y70" s="298">
        <f t="shared" si="41"/>
        <v>59</v>
      </c>
      <c r="Z70" s="298">
        <f t="shared" si="41"/>
        <v>4</v>
      </c>
      <c r="AA70" s="298">
        <f t="shared" si="41"/>
        <v>5</v>
      </c>
      <c r="AB70" s="298">
        <f t="shared" si="41"/>
        <v>100</v>
      </c>
      <c r="AC70" s="298">
        <f t="shared" si="41"/>
        <v>37</v>
      </c>
      <c r="AD70" s="298">
        <f t="shared" si="41"/>
        <v>55.5</v>
      </c>
      <c r="AE70" s="298">
        <f t="shared" si="41"/>
        <v>12.5</v>
      </c>
      <c r="AF70" s="298">
        <f t="shared" si="41"/>
        <v>181</v>
      </c>
      <c r="AG70" s="298">
        <f t="shared" si="41"/>
        <v>0</v>
      </c>
      <c r="AH70" s="298">
        <f t="shared" si="41"/>
        <v>1378.4500000000003</v>
      </c>
      <c r="AI70" s="298">
        <f t="shared" si="41"/>
        <v>126</v>
      </c>
      <c r="AJ70" s="298">
        <f t="shared" si="41"/>
        <v>78</v>
      </c>
      <c r="AK70" s="298">
        <f t="shared" si="41"/>
        <v>0</v>
      </c>
      <c r="AL70" s="298">
        <f t="shared" si="41"/>
        <v>0</v>
      </c>
      <c r="AM70" s="298">
        <f t="shared" si="41"/>
        <v>0</v>
      </c>
      <c r="AN70" s="298">
        <f t="shared" si="41"/>
        <v>204</v>
      </c>
      <c r="AO70" s="298">
        <f t="shared" si="41"/>
        <v>0</v>
      </c>
      <c r="AP70" s="298">
        <f t="shared" si="41"/>
        <v>0</v>
      </c>
      <c r="AQ70" s="298">
        <f t="shared" si="41"/>
        <v>0</v>
      </c>
      <c r="AR70" s="298">
        <f t="shared" si="41"/>
        <v>2778.9500000000007</v>
      </c>
      <c r="AS70" s="298">
        <f t="shared" si="41"/>
        <v>390.05000000000007</v>
      </c>
      <c r="AT70" s="298">
        <v>2368.6499999999992</v>
      </c>
      <c r="AU70" s="298">
        <f t="shared" si="41"/>
        <v>864.33333333333326</v>
      </c>
      <c r="AV70" s="298">
        <f t="shared" si="41"/>
        <v>136</v>
      </c>
      <c r="AW70" s="298">
        <f t="shared" si="41"/>
        <v>0</v>
      </c>
      <c r="AX70" s="298">
        <f t="shared" si="41"/>
        <v>1368.3166666666671</v>
      </c>
      <c r="AY70" s="273">
        <f>AVERAGE(AY5:AY69)</f>
        <v>0.39767924555448325</v>
      </c>
      <c r="AZ70" s="273">
        <f>AVERAGE(AZ5:AZ69)</f>
        <v>0.60232075444551669</v>
      </c>
      <c r="BA70" s="303">
        <f>AVERAGE(BA4:BA69)</f>
        <v>2136230.5909090908</v>
      </c>
      <c r="BB70" s="303">
        <f>AVERAGE(BB4:BB69)</f>
        <v>45261.971412600098</v>
      </c>
    </row>
    <row r="71" spans="1:55" x14ac:dyDescent="0.25">
      <c r="M71" s="287"/>
      <c r="N71" s="287"/>
      <c r="O71" s="287"/>
      <c r="P71" s="287"/>
      <c r="Q71" s="287"/>
      <c r="R71" s="287"/>
      <c r="S71" s="287"/>
      <c r="T71" s="287"/>
      <c r="U71" s="287"/>
      <c r="V71" s="287"/>
      <c r="W71" s="287"/>
      <c r="X71" s="287"/>
      <c r="Y71" s="287"/>
      <c r="Z71" s="287"/>
      <c r="AA71" s="287"/>
      <c r="AB71" s="287"/>
      <c r="AC71" s="287"/>
      <c r="AD71" s="287"/>
      <c r="AE71" s="287"/>
      <c r="AF71" s="287"/>
      <c r="AI71" s="287"/>
      <c r="AJ71" s="287"/>
      <c r="AK71" s="287"/>
      <c r="AL71" s="287"/>
      <c r="AM71" s="287"/>
      <c r="AN71" s="287"/>
      <c r="AO71" s="287"/>
      <c r="AP71" s="287"/>
      <c r="AQ71" s="287"/>
      <c r="AR71" s="287"/>
      <c r="AS71" s="287"/>
      <c r="AT71" s="287"/>
      <c r="AU71" s="287"/>
      <c r="AV71" s="287"/>
      <c r="AW71" s="287"/>
      <c r="AX71" s="287"/>
      <c r="AY71" s="287"/>
      <c r="AZ71" s="287"/>
      <c r="BA71" s="287"/>
      <c r="BB71" s="287"/>
    </row>
    <row r="72" spans="1:55" x14ac:dyDescent="0.25">
      <c r="U72" s="334">
        <v>208</v>
      </c>
      <c r="V72" s="334">
        <v>128</v>
      </c>
      <c r="AY72"/>
      <c r="AZ72"/>
      <c r="BA72" s="287"/>
      <c r="BB72" s="287"/>
    </row>
    <row r="73" spans="1:55" x14ac:dyDescent="0.25">
      <c r="P73" t="s">
        <v>1189</v>
      </c>
      <c r="AY73"/>
      <c r="AZ73"/>
      <c r="BA73" s="287"/>
      <c r="BB73" s="287"/>
    </row>
    <row r="74" spans="1:55" x14ac:dyDescent="0.25">
      <c r="P74" t="s">
        <v>1188</v>
      </c>
      <c r="AY74"/>
      <c r="AZ74"/>
      <c r="BA74" s="287"/>
      <c r="BB74" s="287"/>
    </row>
    <row r="75" spans="1:55" x14ac:dyDescent="0.25">
      <c r="P75" t="s">
        <v>1190</v>
      </c>
      <c r="AY75"/>
      <c r="AZ75"/>
      <c r="BA75" s="287"/>
      <c r="BB75" s="287"/>
    </row>
  </sheetData>
  <autoFilter ref="A3:BC75"/>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x14:formula1>
            <xm:f>'C:\Users\Constanza Nieto\Documents\Seduc\MODELO HNL y Asigna\2025\Distribución Horas\Recibido\[Distribución de Horas Cordillera 2025 (2).xlsx]Hoja1'!#REF!</xm:f>
          </x14:formula1>
          <xm:sqref>K4:K69 C4:D69 F4:F69 J5:J69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01"/>
  <sheetViews>
    <sheetView zoomScale="80" zoomScaleNormal="80" workbookViewId="0">
      <pane xSplit="12" ySplit="3" topLeftCell="W4" activePane="bottomRight" state="frozen"/>
      <selection pane="topRight" activeCell="N1" sqref="N1"/>
      <selection pane="bottomLeft" activeCell="A4" sqref="A4"/>
      <selection pane="bottomRight" activeCell="B104" sqref="B104"/>
    </sheetView>
  </sheetViews>
  <sheetFormatPr baseColWidth="10" defaultColWidth="11.5703125" defaultRowHeight="12.75" x14ac:dyDescent="0.2"/>
  <cols>
    <col min="1" max="2" width="11.5703125" style="193"/>
    <col min="3" max="3" width="8.42578125" style="193" bestFit="1" customWidth="1"/>
    <col min="4" max="4" width="4" style="193" bestFit="1" customWidth="1"/>
    <col min="5" max="5" width="4" style="193" customWidth="1"/>
    <col min="6" max="9" width="3.42578125" style="193" bestFit="1" customWidth="1"/>
    <col min="10" max="10" width="4.7109375" style="193" customWidth="1"/>
    <col min="11" max="11" width="7.28515625" style="193" customWidth="1"/>
    <col min="12" max="12" width="6.7109375" style="193" customWidth="1"/>
    <col min="13" max="13" width="6" style="193" bestFit="1" customWidth="1"/>
    <col min="14" max="14" width="3.42578125" style="193" bestFit="1" customWidth="1"/>
    <col min="15" max="15" width="3.42578125" style="193" customWidth="1"/>
    <col min="16" max="16" width="4.7109375" style="193" customWidth="1"/>
    <col min="17" max="17" width="4.28515625" style="193" customWidth="1"/>
    <col min="18" max="18" width="5" style="193" bestFit="1" customWidth="1"/>
    <col min="19" max="19" width="5.28515625" style="193" customWidth="1"/>
    <col min="20" max="20" width="6" style="193" bestFit="1" customWidth="1"/>
    <col min="21" max="21" width="4" style="193" bestFit="1" customWidth="1"/>
    <col min="22" max="22" width="4.140625" style="193" customWidth="1"/>
    <col min="23" max="23" width="4.42578125" style="193" bestFit="1" customWidth="1"/>
    <col min="24" max="24" width="6" style="193" bestFit="1" customWidth="1"/>
    <col min="25" max="25" width="6.5703125" style="193" customWidth="1"/>
    <col min="26" max="26" width="4" style="193" bestFit="1" customWidth="1"/>
    <col min="27" max="27" width="3.42578125" style="193" bestFit="1" customWidth="1"/>
    <col min="28" max="28" width="4" style="193" bestFit="1" customWidth="1"/>
    <col min="29" max="30" width="5" style="193" bestFit="1" customWidth="1"/>
    <col min="31" max="31" width="3.42578125" style="193" bestFit="1" customWidth="1"/>
    <col min="32" max="32" width="4" style="193" bestFit="1" customWidth="1"/>
    <col min="33" max="33" width="18.42578125" style="193" customWidth="1"/>
    <col min="34" max="34" width="5.42578125" style="193" customWidth="1"/>
    <col min="35" max="35" width="6" style="193" bestFit="1" customWidth="1"/>
    <col min="36" max="36" width="4.42578125" style="193" customWidth="1"/>
    <col min="37" max="38" width="3.42578125" style="193" bestFit="1" customWidth="1"/>
    <col min="39" max="39" width="9.28515625" style="193" customWidth="1"/>
    <col min="40" max="40" width="6" style="193" bestFit="1" customWidth="1"/>
    <col min="41" max="41" width="5.42578125" style="193" bestFit="1" customWidth="1"/>
    <col min="42" max="42" width="8.28515625" style="193" customWidth="1"/>
    <col min="43" max="43" width="6" style="193" bestFit="1" customWidth="1"/>
    <col min="44" max="44" width="5.42578125" style="193" bestFit="1" customWidth="1"/>
    <col min="45" max="45" width="4.85546875" style="193" customWidth="1"/>
    <col min="46" max="46" width="5.42578125" style="193" customWidth="1"/>
    <col min="47" max="47" width="5" style="193" customWidth="1"/>
    <col min="48" max="48" width="4.7109375" style="193" customWidth="1"/>
    <col min="49" max="49" width="3.42578125" style="193" bestFit="1" customWidth="1"/>
    <col min="50" max="50" width="5.5703125" style="193" customWidth="1"/>
    <col min="51" max="52" width="5.28515625" style="193" customWidth="1"/>
    <col min="53" max="53" width="11.5703125" style="193"/>
    <col min="54" max="54" width="9.85546875" style="193" customWidth="1"/>
    <col min="55" max="16384" width="11.5703125" style="193"/>
  </cols>
  <sheetData>
    <row r="1" spans="1:54" ht="13.5" thickBot="1" x14ac:dyDescent="0.25">
      <c r="A1" s="181" t="s">
        <v>712</v>
      </c>
      <c r="B1" s="182"/>
      <c r="C1" s="182"/>
      <c r="D1" s="182"/>
      <c r="E1" s="182"/>
      <c r="F1" s="182"/>
      <c r="G1" s="182"/>
      <c r="H1" s="183"/>
      <c r="I1" s="183"/>
      <c r="J1" s="183"/>
      <c r="K1" s="183"/>
      <c r="L1" s="184"/>
      <c r="M1" s="182"/>
      <c r="N1" s="182"/>
      <c r="O1" s="182"/>
      <c r="P1" s="182"/>
      <c r="Q1" s="185"/>
      <c r="R1" s="186"/>
      <c r="S1" s="182"/>
      <c r="T1" s="183"/>
      <c r="U1" s="187"/>
      <c r="V1" s="182"/>
      <c r="W1" s="188"/>
      <c r="X1" s="182"/>
      <c r="Y1" s="182"/>
      <c r="Z1" s="182"/>
      <c r="AA1" s="182"/>
      <c r="AB1" s="182"/>
      <c r="AC1" s="182"/>
      <c r="AD1" s="182"/>
      <c r="AE1" s="182"/>
      <c r="AF1" s="182"/>
      <c r="AG1" s="189"/>
      <c r="AH1" s="190"/>
      <c r="AI1" s="182"/>
      <c r="AJ1" s="182"/>
      <c r="AK1" s="182"/>
      <c r="AL1" s="182"/>
      <c r="AM1" s="191"/>
      <c r="AN1" s="190"/>
      <c r="AO1" s="182"/>
      <c r="AP1" s="182"/>
      <c r="AQ1" s="188"/>
      <c r="AR1" s="192"/>
      <c r="AS1" s="182"/>
      <c r="AT1" s="182"/>
      <c r="AU1" s="182"/>
      <c r="AV1" s="182"/>
      <c r="AW1" s="182"/>
      <c r="AX1" s="182"/>
      <c r="AY1" s="182"/>
      <c r="AZ1" s="182"/>
    </row>
    <row r="2" spans="1:54" ht="19.5" thickBot="1" x14ac:dyDescent="0.35">
      <c r="A2" s="181"/>
      <c r="B2" s="182"/>
      <c r="C2" s="182"/>
      <c r="D2" s="182"/>
      <c r="E2" s="182"/>
      <c r="F2" s="182"/>
      <c r="G2" s="182"/>
      <c r="H2" s="183"/>
      <c r="I2" s="183"/>
      <c r="J2" s="183"/>
      <c r="K2" s="183"/>
      <c r="L2" s="184"/>
      <c r="M2" s="182"/>
      <c r="N2" s="182"/>
      <c r="O2" s="182"/>
      <c r="P2" s="182"/>
      <c r="Q2" s="185"/>
      <c r="R2" s="186"/>
      <c r="S2" s="182"/>
      <c r="T2" s="183"/>
      <c r="U2" s="187"/>
      <c r="V2" s="182"/>
      <c r="W2" s="188"/>
      <c r="X2" s="182"/>
      <c r="Y2" s="182"/>
      <c r="Z2" s="182"/>
      <c r="AA2" s="182"/>
      <c r="AB2" s="182"/>
      <c r="AC2" s="182"/>
      <c r="AD2" s="182"/>
      <c r="AE2" s="182"/>
      <c r="AF2" s="182"/>
      <c r="AG2" s="189"/>
      <c r="AH2" s="190"/>
      <c r="AI2" s="182"/>
      <c r="AJ2" s="182"/>
      <c r="AK2" s="182"/>
      <c r="AL2" s="182"/>
      <c r="AM2" s="191"/>
      <c r="AN2" s="190"/>
      <c r="AO2" s="182"/>
      <c r="AP2" s="182"/>
      <c r="AQ2" s="188"/>
      <c r="AR2" s="192"/>
      <c r="AS2" s="182"/>
      <c r="AT2" s="345" t="s">
        <v>1187</v>
      </c>
      <c r="AU2" s="381"/>
      <c r="AV2" s="407"/>
      <c r="AW2" s="407"/>
      <c r="AX2" s="407"/>
      <c r="AY2" s="407"/>
      <c r="AZ2" s="408"/>
    </row>
    <row r="3" spans="1:54" customFormat="1" ht="121.9" customHeight="1" thickBot="1" x14ac:dyDescent="0.3">
      <c r="A3" s="3" t="s">
        <v>1</v>
      </c>
      <c r="B3" s="3" t="s">
        <v>2</v>
      </c>
      <c r="C3" s="10" t="s">
        <v>3</v>
      </c>
      <c r="D3" s="11" t="s">
        <v>4</v>
      </c>
      <c r="E3" s="11" t="s">
        <v>5</v>
      </c>
      <c r="F3" s="11" t="s">
        <v>6</v>
      </c>
      <c r="G3" s="11" t="s">
        <v>7</v>
      </c>
      <c r="H3" s="11" t="s">
        <v>8</v>
      </c>
      <c r="I3" s="11" t="s">
        <v>9</v>
      </c>
      <c r="J3" s="11" t="s">
        <v>10</v>
      </c>
      <c r="K3" s="12" t="s">
        <v>11</v>
      </c>
      <c r="L3" s="253" t="s">
        <v>0</v>
      </c>
      <c r="M3" s="10" t="s">
        <v>1082</v>
      </c>
      <c r="N3" s="13" t="s">
        <v>1083</v>
      </c>
      <c r="O3" s="13" t="s">
        <v>1084</v>
      </c>
      <c r="P3" s="13" t="s">
        <v>1085</v>
      </c>
      <c r="Q3" s="11" t="s">
        <v>1086</v>
      </c>
      <c r="R3" s="14" t="s">
        <v>12</v>
      </c>
      <c r="S3" s="15" t="s">
        <v>13</v>
      </c>
      <c r="T3" s="240" t="s">
        <v>14</v>
      </c>
      <c r="U3" s="241" t="s">
        <v>15</v>
      </c>
      <c r="V3" s="242" t="s">
        <v>16</v>
      </c>
      <c r="W3" s="243" t="s">
        <v>17</v>
      </c>
      <c r="X3" s="242" t="s">
        <v>18</v>
      </c>
      <c r="Y3" s="242" t="s">
        <v>19</v>
      </c>
      <c r="Z3" s="241" t="s">
        <v>20</v>
      </c>
      <c r="AA3" s="241" t="s">
        <v>21</v>
      </c>
      <c r="AB3" s="244" t="s">
        <v>22</v>
      </c>
      <c r="AC3" s="245" t="s">
        <v>23</v>
      </c>
      <c r="AD3" s="241" t="s">
        <v>24</v>
      </c>
      <c r="AE3" s="242" t="s">
        <v>25</v>
      </c>
      <c r="AF3" s="241" t="s">
        <v>26</v>
      </c>
      <c r="AG3" s="242" t="s">
        <v>27</v>
      </c>
      <c r="AH3" s="246" t="s">
        <v>28</v>
      </c>
      <c r="AI3" s="240" t="s">
        <v>29</v>
      </c>
      <c r="AJ3" s="241" t="s">
        <v>30</v>
      </c>
      <c r="AK3" s="247" t="s">
        <v>31</v>
      </c>
      <c r="AL3" s="241" t="s">
        <v>32</v>
      </c>
      <c r="AM3" s="242" t="s">
        <v>33</v>
      </c>
      <c r="AN3" s="248" t="s">
        <v>34</v>
      </c>
      <c r="AO3" s="249" t="s">
        <v>35</v>
      </c>
      <c r="AP3" s="250" t="s">
        <v>36</v>
      </c>
      <c r="AQ3" s="251" t="s">
        <v>37</v>
      </c>
      <c r="AR3" s="252" t="s">
        <v>38</v>
      </c>
      <c r="AS3" s="342" t="s">
        <v>39</v>
      </c>
      <c r="AT3" s="349" t="s">
        <v>40</v>
      </c>
      <c r="AU3" s="350" t="s">
        <v>41</v>
      </c>
      <c r="AV3" s="351" t="s">
        <v>42</v>
      </c>
      <c r="AW3" s="351" t="s">
        <v>43</v>
      </c>
      <c r="AX3" s="352" t="s">
        <v>44</v>
      </c>
      <c r="AY3" s="352" t="s">
        <v>1087</v>
      </c>
      <c r="AZ3" s="375" t="s">
        <v>1088</v>
      </c>
      <c r="BA3" s="16" t="s">
        <v>1191</v>
      </c>
      <c r="BB3" s="16" t="s">
        <v>1192</v>
      </c>
    </row>
    <row r="4" spans="1:54" ht="14.25" customHeight="1" thickBot="1" x14ac:dyDescent="0.3">
      <c r="A4" s="194" t="s">
        <v>797</v>
      </c>
      <c r="B4" s="195" t="s">
        <v>798</v>
      </c>
      <c r="C4" s="122" t="s">
        <v>114</v>
      </c>
      <c r="D4" s="123"/>
      <c r="E4" s="123"/>
      <c r="F4" s="123"/>
      <c r="G4" s="196" t="s">
        <v>609</v>
      </c>
      <c r="H4" s="196"/>
      <c r="I4" s="196" t="s">
        <v>57</v>
      </c>
      <c r="J4" s="217" t="s">
        <v>785</v>
      </c>
      <c r="K4" s="196" t="s">
        <v>290</v>
      </c>
      <c r="L4" s="198">
        <v>52</v>
      </c>
      <c r="M4" s="199">
        <v>8</v>
      </c>
      <c r="N4" s="199"/>
      <c r="O4" s="199"/>
      <c r="P4" s="199"/>
      <c r="Q4" s="200">
        <v>4</v>
      </c>
      <c r="R4" s="201">
        <v>1</v>
      </c>
      <c r="S4" s="202">
        <f t="shared" ref="S4:S35" si="0">SUM(M4:R4)</f>
        <v>13</v>
      </c>
      <c r="T4" s="213">
        <f>IF($C4="",0,VLOOKUP($C4,[5]Hoja1!$C$11:$D$27,2,FALSE)*M4)+IF($D4="",0,VLOOKUP($D4,[5]Hoja1!$C$11:$D$27,2,FALSE)*N4)+IF($F4="",0,VLOOKUP($F4,[5]Hoja1!$C$11:$D$27,2,FALSE)*P4)+IF(R4="",0,R4*0.5)</f>
        <v>4.5</v>
      </c>
      <c r="U4" s="199">
        <v>5</v>
      </c>
      <c r="V4" s="199"/>
      <c r="W4" s="204">
        <v>2.25</v>
      </c>
      <c r="X4" s="200"/>
      <c r="Y4" s="200"/>
      <c r="Z4" s="200"/>
      <c r="AA4" s="200"/>
      <c r="AB4" s="326">
        <v>2</v>
      </c>
      <c r="AC4" s="326"/>
      <c r="AD4" s="327">
        <v>0.25</v>
      </c>
      <c r="AE4" s="200"/>
      <c r="AF4" s="200"/>
      <c r="AG4" s="205"/>
      <c r="AH4" s="206">
        <f t="shared" ref="AH4:AH35" si="1">SUM(T4:AF4)</f>
        <v>14</v>
      </c>
      <c r="AI4" s="199">
        <v>29</v>
      </c>
      <c r="AJ4" s="199"/>
      <c r="AK4" s="199"/>
      <c r="AL4" s="199"/>
      <c r="AM4" s="207"/>
      <c r="AN4" s="208">
        <f t="shared" ref="AN4:AN35" si="2">SUM(AI4:AL4)</f>
        <v>29</v>
      </c>
      <c r="AO4" s="214"/>
      <c r="AP4" s="214"/>
      <c r="AQ4" s="210">
        <f t="shared" ref="AQ4:AQ35" si="3">SUM(AO4:AO4)</f>
        <v>0</v>
      </c>
      <c r="AR4" s="211">
        <f t="shared" ref="AR4:AR35" si="4">+S4+AH4+AN4+AQ4</f>
        <v>56</v>
      </c>
      <c r="AS4" s="404">
        <f t="shared" ref="AS4:AS35" si="5">+L4-AR4</f>
        <v>-4</v>
      </c>
      <c r="AT4" s="355">
        <v>40.049999999999997</v>
      </c>
      <c r="AU4" s="356">
        <f t="shared" ref="AU4:AU35" si="6">+(S4+AB4)*40/60</f>
        <v>10</v>
      </c>
      <c r="AV4" s="386">
        <f t="shared" ref="AV4:AV35" si="7">+AN4*40/60</f>
        <v>19.333333333333332</v>
      </c>
      <c r="AW4" s="358">
        <f t="shared" ref="AW4:AW35" si="8">+AQ4*0.666666666666667</f>
        <v>0</v>
      </c>
      <c r="AX4" s="356">
        <f t="shared" ref="AX4:AX35" si="9">+AT4-AU4-AV4-AW4</f>
        <v>10.716666666666665</v>
      </c>
      <c r="AY4" s="387">
        <f t="shared" ref="AY4:AY11" si="10">+AU4/(AU4+AX4)</f>
        <v>0.48270313757039424</v>
      </c>
      <c r="AZ4" s="388">
        <f t="shared" ref="AZ4:AZ11" si="11">+AX4/(AU4+AX4)</f>
        <v>0.51729686242960571</v>
      </c>
      <c r="BA4" s="287">
        <v>2494420</v>
      </c>
      <c r="BB4" s="287">
        <f>+BA4/L4</f>
        <v>47969.615384615383</v>
      </c>
    </row>
    <row r="5" spans="1:54" ht="14.25" customHeight="1" thickBot="1" x14ac:dyDescent="0.3">
      <c r="A5" s="194" t="s">
        <v>813</v>
      </c>
      <c r="B5" s="195" t="s">
        <v>814</v>
      </c>
      <c r="C5" s="122" t="s">
        <v>114</v>
      </c>
      <c r="D5" s="123" t="s">
        <v>55</v>
      </c>
      <c r="E5" s="123"/>
      <c r="F5" s="123"/>
      <c r="G5" s="196" t="s">
        <v>609</v>
      </c>
      <c r="H5" s="196" t="s">
        <v>609</v>
      </c>
      <c r="I5" s="197"/>
      <c r="J5" s="197"/>
      <c r="K5" s="196" t="s">
        <v>290</v>
      </c>
      <c r="L5" s="212">
        <v>51.95</v>
      </c>
      <c r="M5" s="199">
        <v>10</v>
      </c>
      <c r="N5" s="199">
        <v>12</v>
      </c>
      <c r="O5" s="199"/>
      <c r="P5" s="199"/>
      <c r="Q5" s="200">
        <v>6</v>
      </c>
      <c r="R5" s="201">
        <v>1</v>
      </c>
      <c r="S5" s="202">
        <f t="shared" si="0"/>
        <v>29</v>
      </c>
      <c r="T5" s="213">
        <f>IF($C5="",0,VLOOKUP($C5,[5]Hoja1!$C$11:$D$27,2,FALSE)*M5)+IF($D5="",0,VLOOKUP($D5,[5]Hoja1!$C$11:$D$27,2,FALSE)*N5)+IF($F5="",0,VLOOKUP($F5,[5]Hoja1!$C$11:$D$27,2,FALSE)*P5)+IF(R5="",0,R5*0.5)</f>
        <v>12.7</v>
      </c>
      <c r="U5" s="199">
        <v>5</v>
      </c>
      <c r="V5" s="199"/>
      <c r="W5" s="204">
        <v>2.25</v>
      </c>
      <c r="X5" s="200"/>
      <c r="Y5" s="200"/>
      <c r="Z5" s="200"/>
      <c r="AA5" s="200"/>
      <c r="AB5" s="326">
        <v>2</v>
      </c>
      <c r="AC5" s="326"/>
      <c r="AD5" s="327">
        <v>1</v>
      </c>
      <c r="AE5" s="200"/>
      <c r="AF5" s="200"/>
      <c r="AG5" s="205"/>
      <c r="AH5" s="206">
        <f t="shared" si="1"/>
        <v>22.95</v>
      </c>
      <c r="AI5" s="213"/>
      <c r="AJ5" s="199"/>
      <c r="AK5" s="199"/>
      <c r="AL5" s="199"/>
      <c r="AM5" s="207"/>
      <c r="AN5" s="208">
        <f t="shared" si="2"/>
        <v>0</v>
      </c>
      <c r="AO5" s="214"/>
      <c r="AP5" s="214"/>
      <c r="AQ5" s="210">
        <f t="shared" si="3"/>
        <v>0</v>
      </c>
      <c r="AR5" s="211">
        <f t="shared" si="4"/>
        <v>51.95</v>
      </c>
      <c r="AS5" s="405">
        <f t="shared" si="5"/>
        <v>0</v>
      </c>
      <c r="AT5" s="355">
        <v>35.31666666666667</v>
      </c>
      <c r="AU5" s="356">
        <f t="shared" si="6"/>
        <v>20.666666666666668</v>
      </c>
      <c r="AV5" s="386">
        <f t="shared" si="7"/>
        <v>0</v>
      </c>
      <c r="AW5" s="358">
        <f t="shared" si="8"/>
        <v>0</v>
      </c>
      <c r="AX5" s="356">
        <f t="shared" si="9"/>
        <v>14.650000000000002</v>
      </c>
      <c r="AY5" s="387">
        <f t="shared" si="10"/>
        <v>0.585181689476168</v>
      </c>
      <c r="AZ5" s="388">
        <f t="shared" si="11"/>
        <v>0.414818310523832</v>
      </c>
      <c r="BA5" s="287">
        <v>1652554</v>
      </c>
      <c r="BB5" s="287">
        <f t="shared" ref="BB5:BB33" si="12">+BA5/L5</f>
        <v>31810.471607314725</v>
      </c>
    </row>
    <row r="6" spans="1:54" ht="14.25" customHeight="1" thickBot="1" x14ac:dyDescent="0.3">
      <c r="A6" s="194" t="s">
        <v>864</v>
      </c>
      <c r="B6" s="195" t="s">
        <v>865</v>
      </c>
      <c r="C6" s="122" t="s">
        <v>114</v>
      </c>
      <c r="D6" s="123" t="s">
        <v>61</v>
      </c>
      <c r="E6" s="123"/>
      <c r="F6" s="123"/>
      <c r="G6" s="196" t="s">
        <v>609</v>
      </c>
      <c r="H6" s="196"/>
      <c r="I6" s="197"/>
      <c r="J6" s="197"/>
      <c r="K6" s="196" t="s">
        <v>290</v>
      </c>
      <c r="L6" s="212">
        <v>47</v>
      </c>
      <c r="M6" s="199">
        <v>16</v>
      </c>
      <c r="N6" s="199"/>
      <c r="O6" s="199"/>
      <c r="P6" s="199"/>
      <c r="Q6" s="200">
        <v>6</v>
      </c>
      <c r="R6" s="201">
        <v>1</v>
      </c>
      <c r="S6" s="202">
        <f t="shared" si="0"/>
        <v>23</v>
      </c>
      <c r="T6" s="213">
        <f>IF($C6="",0,VLOOKUP($C6,[5]Hoja1!$C$11:$D$27,2,FALSE)*M6)+IF($D6="",0,VLOOKUP($D6,[5]Hoja1!$C$11:$D$27,2,FALSE)*N6)+IF($F6="",0,VLOOKUP($F6,[5]Hoja1!$C$11:$D$27,2,FALSE)*P6)+IF(R6="",0,R6*0.5)</f>
        <v>8.5</v>
      </c>
      <c r="U6" s="199">
        <v>5</v>
      </c>
      <c r="V6" s="199"/>
      <c r="W6" s="204">
        <v>2.25</v>
      </c>
      <c r="X6" s="200"/>
      <c r="Y6" s="200"/>
      <c r="Z6" s="200"/>
      <c r="AA6" s="200"/>
      <c r="AB6" s="326">
        <v>3</v>
      </c>
      <c r="AC6" s="326">
        <v>1</v>
      </c>
      <c r="AD6" s="327">
        <v>0.25</v>
      </c>
      <c r="AE6" s="200"/>
      <c r="AF6" s="200">
        <v>4</v>
      </c>
      <c r="AG6" s="205" t="s">
        <v>866</v>
      </c>
      <c r="AH6" s="206">
        <f t="shared" si="1"/>
        <v>24</v>
      </c>
      <c r="AI6" s="213"/>
      <c r="AJ6" s="199"/>
      <c r="AK6" s="199"/>
      <c r="AL6" s="199"/>
      <c r="AM6" s="207"/>
      <c r="AN6" s="208">
        <f t="shared" si="2"/>
        <v>0</v>
      </c>
      <c r="AO6" s="214"/>
      <c r="AP6" s="214"/>
      <c r="AQ6" s="210">
        <f t="shared" si="3"/>
        <v>0</v>
      </c>
      <c r="AR6" s="211">
        <f t="shared" si="4"/>
        <v>47</v>
      </c>
      <c r="AS6" s="405">
        <f t="shared" si="5"/>
        <v>0</v>
      </c>
      <c r="AT6" s="355">
        <v>33.266666666666666</v>
      </c>
      <c r="AU6" s="356">
        <f t="shared" si="6"/>
        <v>17.333333333333332</v>
      </c>
      <c r="AV6" s="386">
        <f t="shared" si="7"/>
        <v>0</v>
      </c>
      <c r="AW6" s="358">
        <f t="shared" si="8"/>
        <v>0</v>
      </c>
      <c r="AX6" s="356">
        <f t="shared" si="9"/>
        <v>15.933333333333334</v>
      </c>
      <c r="AY6" s="387">
        <f t="shared" si="10"/>
        <v>0.52104208416833664</v>
      </c>
      <c r="AZ6" s="388">
        <f t="shared" si="11"/>
        <v>0.47895791583166336</v>
      </c>
      <c r="BA6" s="287">
        <v>1445250</v>
      </c>
      <c r="BB6" s="287">
        <f t="shared" si="12"/>
        <v>30750</v>
      </c>
    </row>
    <row r="7" spans="1:54" ht="14.25" customHeight="1" thickBot="1" x14ac:dyDescent="0.3">
      <c r="A7" s="194" t="s">
        <v>719</v>
      </c>
      <c r="B7" s="195" t="s">
        <v>720</v>
      </c>
      <c r="C7" s="122" t="s">
        <v>55</v>
      </c>
      <c r="D7" s="215"/>
      <c r="E7" s="215"/>
      <c r="F7" s="123"/>
      <c r="G7" s="196" t="s">
        <v>609</v>
      </c>
      <c r="H7" s="196" t="s">
        <v>609</v>
      </c>
      <c r="I7" s="197"/>
      <c r="J7" s="197"/>
      <c r="K7" s="196" t="s">
        <v>349</v>
      </c>
      <c r="L7" s="212">
        <v>40.29</v>
      </c>
      <c r="M7" s="199">
        <v>6</v>
      </c>
      <c r="N7" s="199"/>
      <c r="O7" s="199"/>
      <c r="P7" s="199"/>
      <c r="Q7" s="200"/>
      <c r="R7" s="201">
        <v>1</v>
      </c>
      <c r="S7" s="202">
        <f t="shared" si="0"/>
        <v>7</v>
      </c>
      <c r="T7" s="216">
        <f>IF($C7="",0,VLOOKUP($C7,[5]Hoja1!$C$11:$D$27,2,FALSE)*M7)+IF($D7="",0,VLOOKUP($D7,[5]Hoja1!$C$11:$D$27,2,FALSE)*N7)+IF($F7="",0,VLOOKUP($F7,[5]Hoja1!$C$11:$D$27,2,FALSE)*P7)+IF(R7="",0,R7*0.5)</f>
        <v>4.0999999999999996</v>
      </c>
      <c r="U7" s="199">
        <f t="shared" ref="U7:U20" si="13">IF(G7="x",4,"")</f>
        <v>4</v>
      </c>
      <c r="V7" s="199">
        <v>4</v>
      </c>
      <c r="W7" s="204">
        <v>2.25</v>
      </c>
      <c r="X7" s="200"/>
      <c r="Y7" s="200"/>
      <c r="Z7" s="200"/>
      <c r="AA7" s="200"/>
      <c r="AB7" s="326">
        <v>1</v>
      </c>
      <c r="AC7" s="326"/>
      <c r="AD7" s="327"/>
      <c r="AE7" s="200"/>
      <c r="AF7" s="200"/>
      <c r="AG7" s="205"/>
      <c r="AH7" s="206">
        <f t="shared" si="1"/>
        <v>15.35</v>
      </c>
      <c r="AI7" s="213"/>
      <c r="AJ7" s="199"/>
      <c r="AK7" s="199"/>
      <c r="AL7" s="199"/>
      <c r="AM7" s="207"/>
      <c r="AN7" s="208">
        <f t="shared" si="2"/>
        <v>0</v>
      </c>
      <c r="AO7" s="214">
        <v>17.940000000000001</v>
      </c>
      <c r="AP7" s="214" t="s">
        <v>721</v>
      </c>
      <c r="AQ7" s="210">
        <f t="shared" si="3"/>
        <v>17.940000000000001</v>
      </c>
      <c r="AR7" s="211">
        <f t="shared" si="4"/>
        <v>40.290000000000006</v>
      </c>
      <c r="AS7" s="405">
        <f t="shared" si="5"/>
        <v>0</v>
      </c>
      <c r="AT7" s="355">
        <v>32.1</v>
      </c>
      <c r="AU7" s="356">
        <f t="shared" si="6"/>
        <v>5.333333333333333</v>
      </c>
      <c r="AV7" s="386">
        <f t="shared" si="7"/>
        <v>0</v>
      </c>
      <c r="AW7" s="358">
        <f t="shared" si="8"/>
        <v>11.960000000000006</v>
      </c>
      <c r="AX7" s="356">
        <f t="shared" si="9"/>
        <v>14.806666666666663</v>
      </c>
      <c r="AY7" s="387">
        <f t="shared" si="10"/>
        <v>0.26481297583581598</v>
      </c>
      <c r="AZ7" s="388">
        <f t="shared" si="11"/>
        <v>0.73518702416418402</v>
      </c>
      <c r="BA7" s="287">
        <v>1807399</v>
      </c>
      <c r="BB7" s="287">
        <f t="shared" si="12"/>
        <v>44859.741871432117</v>
      </c>
    </row>
    <row r="8" spans="1:54" ht="14.25" customHeight="1" thickBot="1" x14ac:dyDescent="0.3">
      <c r="A8" s="194" t="s">
        <v>722</v>
      </c>
      <c r="B8" s="195" t="s">
        <v>723</v>
      </c>
      <c r="C8" s="122" t="s">
        <v>109</v>
      </c>
      <c r="D8" s="123" t="s">
        <v>98</v>
      </c>
      <c r="E8" s="123"/>
      <c r="F8" s="123"/>
      <c r="G8" s="196"/>
      <c r="H8" s="196"/>
      <c r="I8" s="197"/>
      <c r="J8" s="197"/>
      <c r="K8" s="196" t="s">
        <v>349</v>
      </c>
      <c r="L8" s="212">
        <v>51.5</v>
      </c>
      <c r="M8" s="199">
        <v>16</v>
      </c>
      <c r="N8" s="199">
        <v>4</v>
      </c>
      <c r="O8" s="199"/>
      <c r="P8" s="199"/>
      <c r="Q8" s="200"/>
      <c r="R8" s="201" t="str">
        <f>IF(G8="x",1,"")</f>
        <v/>
      </c>
      <c r="S8" s="202">
        <f t="shared" si="0"/>
        <v>20</v>
      </c>
      <c r="T8" s="216">
        <f>IF($C8="",0,VLOOKUP($C8,[5]Hoja1!$C$11:$D$27,2,FALSE)*M8)+IF($D8="",0,VLOOKUP($D8,[5]Hoja1!$C$11:$D$27,2,FALSE)*N8)+IF($F8="",0,VLOOKUP($F8,[5]Hoja1!$C$11:$D$27,2,FALSE)*P8)+IF(R8="",0,R8*0.5)</f>
        <v>10</v>
      </c>
      <c r="U8" s="199" t="str">
        <f t="shared" si="13"/>
        <v/>
      </c>
      <c r="V8" s="199"/>
      <c r="W8" s="204">
        <v>2.25</v>
      </c>
      <c r="X8" s="200"/>
      <c r="Y8" s="200"/>
      <c r="Z8" s="200"/>
      <c r="AA8" s="200"/>
      <c r="AB8" s="326"/>
      <c r="AC8" s="326">
        <v>1</v>
      </c>
      <c r="AD8" s="327">
        <v>0.25</v>
      </c>
      <c r="AE8" s="200"/>
      <c r="AF8" s="200">
        <f>3+15</f>
        <v>18</v>
      </c>
      <c r="AG8" s="205" t="s">
        <v>724</v>
      </c>
      <c r="AH8" s="206">
        <f t="shared" si="1"/>
        <v>31.5</v>
      </c>
      <c r="AI8" s="213"/>
      <c r="AJ8" s="199"/>
      <c r="AK8" s="199"/>
      <c r="AL8" s="199"/>
      <c r="AM8" s="207"/>
      <c r="AN8" s="208">
        <f t="shared" si="2"/>
        <v>0</v>
      </c>
      <c r="AO8" s="214"/>
      <c r="AP8" s="214"/>
      <c r="AQ8" s="210">
        <f t="shared" si="3"/>
        <v>0</v>
      </c>
      <c r="AR8" s="211">
        <f t="shared" si="4"/>
        <v>51.5</v>
      </c>
      <c r="AS8" s="405">
        <f t="shared" si="5"/>
        <v>0</v>
      </c>
      <c r="AT8" s="355">
        <v>36.333333333333336</v>
      </c>
      <c r="AU8" s="356">
        <f t="shared" si="6"/>
        <v>13.333333333333334</v>
      </c>
      <c r="AV8" s="386">
        <f t="shared" si="7"/>
        <v>0</v>
      </c>
      <c r="AW8" s="358">
        <f t="shared" si="8"/>
        <v>0</v>
      </c>
      <c r="AX8" s="356">
        <f t="shared" si="9"/>
        <v>23</v>
      </c>
      <c r="AY8" s="387">
        <f t="shared" si="10"/>
        <v>0.36697247706422015</v>
      </c>
      <c r="AZ8" s="388">
        <f t="shared" si="11"/>
        <v>0.6330275229357798</v>
      </c>
      <c r="BA8" s="287">
        <v>2319979</v>
      </c>
      <c r="BB8" s="287">
        <f t="shared" si="12"/>
        <v>45048.135922330097</v>
      </c>
    </row>
    <row r="9" spans="1:54" ht="14.25" customHeight="1" thickBot="1" x14ac:dyDescent="0.3">
      <c r="A9" s="194" t="s">
        <v>725</v>
      </c>
      <c r="B9" s="195" t="s">
        <v>726</v>
      </c>
      <c r="C9" s="122" t="s">
        <v>180</v>
      </c>
      <c r="D9" s="123"/>
      <c r="E9" s="123"/>
      <c r="F9" s="123"/>
      <c r="G9" s="196"/>
      <c r="H9" s="196"/>
      <c r="I9" s="197"/>
      <c r="J9" s="197"/>
      <c r="K9" s="196" t="s">
        <v>429</v>
      </c>
      <c r="L9" s="212">
        <v>45.1</v>
      </c>
      <c r="M9" s="199">
        <v>24.5</v>
      </c>
      <c r="N9" s="199"/>
      <c r="O9" s="199"/>
      <c r="P9" s="199"/>
      <c r="Q9" s="200"/>
      <c r="R9" s="201" t="str">
        <f>IF(G9="x",1,"")</f>
        <v/>
      </c>
      <c r="S9" s="202">
        <f t="shared" si="0"/>
        <v>24.5</v>
      </c>
      <c r="T9" s="216">
        <f>IF($C9="",0,VLOOKUP($C9,[5]Hoja1!$C$11:$D$27,2,FALSE)*M9)+IF($D9="",0,VLOOKUP($D9,[5]Hoja1!$C$11:$D$27,2,FALSE)*N9)+IF($F9="",0,VLOOKUP($F9,[5]Hoja1!$C$11:$D$27,2,FALSE)*P9)+IF(R9="",0,R9*0.5)</f>
        <v>7.35</v>
      </c>
      <c r="U9" s="199" t="str">
        <f t="shared" si="13"/>
        <v/>
      </c>
      <c r="V9" s="199"/>
      <c r="W9" s="204">
        <v>2.25</v>
      </c>
      <c r="X9" s="200"/>
      <c r="Y9" s="200">
        <v>2.2999999999999998</v>
      </c>
      <c r="Z9" s="200"/>
      <c r="AA9" s="200"/>
      <c r="AB9" s="326">
        <v>2</v>
      </c>
      <c r="AC9" s="326">
        <v>2</v>
      </c>
      <c r="AD9" s="327"/>
      <c r="AE9" s="200"/>
      <c r="AF9" s="200"/>
      <c r="AG9" s="205"/>
      <c r="AH9" s="206">
        <f t="shared" si="1"/>
        <v>15.899999999999999</v>
      </c>
      <c r="AI9" s="213"/>
      <c r="AJ9" s="199"/>
      <c r="AK9" s="199"/>
      <c r="AL9" s="199"/>
      <c r="AM9" s="207"/>
      <c r="AN9" s="208">
        <f t="shared" si="2"/>
        <v>0</v>
      </c>
      <c r="AO9" s="214"/>
      <c r="AP9" s="214"/>
      <c r="AQ9" s="210">
        <f t="shared" si="3"/>
        <v>0</v>
      </c>
      <c r="AR9" s="211">
        <f t="shared" si="4"/>
        <v>40.4</v>
      </c>
      <c r="AS9" s="405">
        <f t="shared" si="5"/>
        <v>4.7000000000000028</v>
      </c>
      <c r="AT9" s="355">
        <v>29.466666666666665</v>
      </c>
      <c r="AU9" s="356">
        <f t="shared" si="6"/>
        <v>17.666666666666668</v>
      </c>
      <c r="AV9" s="386">
        <f t="shared" si="7"/>
        <v>0</v>
      </c>
      <c r="AW9" s="358">
        <f t="shared" si="8"/>
        <v>0</v>
      </c>
      <c r="AX9" s="356">
        <f t="shared" si="9"/>
        <v>11.799999999999997</v>
      </c>
      <c r="AY9" s="387">
        <f t="shared" si="10"/>
        <v>0.59954751131221728</v>
      </c>
      <c r="AZ9" s="388">
        <f t="shared" si="11"/>
        <v>0.40045248868778272</v>
      </c>
      <c r="BA9" s="287">
        <v>1621822</v>
      </c>
      <c r="BB9" s="287">
        <f t="shared" si="12"/>
        <v>35960.576496674053</v>
      </c>
    </row>
    <row r="10" spans="1:54" ht="14.25" customHeight="1" thickBot="1" x14ac:dyDescent="0.3">
      <c r="A10" s="194" t="s">
        <v>727</v>
      </c>
      <c r="B10" s="195" t="s">
        <v>728</v>
      </c>
      <c r="C10" s="122" t="s">
        <v>55</v>
      </c>
      <c r="D10" s="123" t="s">
        <v>98</v>
      </c>
      <c r="E10" s="123"/>
      <c r="F10" s="215"/>
      <c r="G10" s="196"/>
      <c r="H10" s="196"/>
      <c r="I10" s="197"/>
      <c r="J10" s="197"/>
      <c r="K10" s="196" t="s">
        <v>349</v>
      </c>
      <c r="L10" s="212">
        <v>52.45</v>
      </c>
      <c r="M10" s="199">
        <v>12</v>
      </c>
      <c r="N10" s="199">
        <v>4</v>
      </c>
      <c r="O10" s="199"/>
      <c r="P10" s="199"/>
      <c r="Q10" s="200"/>
      <c r="R10" s="201" t="str">
        <f>IF(G10="x",1,"")</f>
        <v/>
      </c>
      <c r="S10" s="202">
        <f t="shared" si="0"/>
        <v>16</v>
      </c>
      <c r="T10" s="216">
        <f>IF($C10="",0,VLOOKUP($C10,[5]Hoja1!$C$11:$D$27,2,FALSE)*M10)+IF($D10="",0,VLOOKUP($D10,[5]Hoja1!$C$11:$D$27,2,FALSE)*N10)+IF($F10="",0,VLOOKUP($F10,[5]Hoja1!$C$11:$D$27,2,FALSE)*P10)+IF(R10="",0,R10*0.5)</f>
        <v>9.1999999999999993</v>
      </c>
      <c r="U10" s="199" t="str">
        <f t="shared" si="13"/>
        <v/>
      </c>
      <c r="V10" s="199"/>
      <c r="W10" s="204">
        <v>2.25</v>
      </c>
      <c r="X10" s="200"/>
      <c r="Y10" s="200"/>
      <c r="Z10" s="200"/>
      <c r="AA10" s="200"/>
      <c r="AB10" s="326">
        <v>3</v>
      </c>
      <c r="AC10" s="326">
        <v>1</v>
      </c>
      <c r="AD10" s="327"/>
      <c r="AE10" s="200"/>
      <c r="AF10" s="200"/>
      <c r="AG10" s="205"/>
      <c r="AH10" s="206">
        <f t="shared" si="1"/>
        <v>15.45</v>
      </c>
      <c r="AI10" s="213"/>
      <c r="AJ10" s="199"/>
      <c r="AK10" s="199"/>
      <c r="AL10" s="199"/>
      <c r="AM10" s="207"/>
      <c r="AN10" s="208">
        <f t="shared" si="2"/>
        <v>0</v>
      </c>
      <c r="AO10" s="214">
        <v>21</v>
      </c>
      <c r="AP10" s="214" t="s">
        <v>729</v>
      </c>
      <c r="AQ10" s="210">
        <f t="shared" si="3"/>
        <v>21</v>
      </c>
      <c r="AR10" s="211">
        <f t="shared" si="4"/>
        <v>52.45</v>
      </c>
      <c r="AS10" s="405">
        <f t="shared" si="5"/>
        <v>0</v>
      </c>
      <c r="AT10" s="355">
        <v>36.266666666666666</v>
      </c>
      <c r="AU10" s="356">
        <f t="shared" si="6"/>
        <v>12.666666666666666</v>
      </c>
      <c r="AV10" s="386">
        <f t="shared" si="7"/>
        <v>0</v>
      </c>
      <c r="AW10" s="358">
        <f t="shared" si="8"/>
        <v>14.000000000000007</v>
      </c>
      <c r="AX10" s="356">
        <f t="shared" si="9"/>
        <v>9.5999999999999943</v>
      </c>
      <c r="AY10" s="387">
        <f t="shared" si="10"/>
        <v>0.56886227544910195</v>
      </c>
      <c r="AZ10" s="388">
        <f t="shared" si="11"/>
        <v>0.4311377245508981</v>
      </c>
      <c r="BA10" s="287">
        <v>2078310</v>
      </c>
      <c r="BB10" s="287">
        <f t="shared" si="12"/>
        <v>39624.594852240225</v>
      </c>
    </row>
    <row r="11" spans="1:54" ht="14.25" customHeight="1" thickBot="1" x14ac:dyDescent="0.3">
      <c r="A11" s="194" t="s">
        <v>730</v>
      </c>
      <c r="B11" s="195" t="s">
        <v>731</v>
      </c>
      <c r="C11" s="122" t="s">
        <v>56</v>
      </c>
      <c r="D11" s="123"/>
      <c r="E11" s="123"/>
      <c r="F11" s="123"/>
      <c r="G11" s="196"/>
      <c r="H11" s="196"/>
      <c r="I11" s="197"/>
      <c r="J11" s="197"/>
      <c r="K11" s="196" t="s">
        <v>318</v>
      </c>
      <c r="L11" s="212">
        <v>14.65</v>
      </c>
      <c r="M11" s="199">
        <v>6</v>
      </c>
      <c r="N11" s="199"/>
      <c r="O11" s="199"/>
      <c r="P11" s="199"/>
      <c r="Q11" s="200"/>
      <c r="R11" s="201" t="str">
        <f>IF(G11="x",1,"")</f>
        <v/>
      </c>
      <c r="S11" s="202">
        <f t="shared" si="0"/>
        <v>6</v>
      </c>
      <c r="T11" s="216">
        <f>IF($C11="",0,VLOOKUP($C11,[5]Hoja1!$C$11:$D$27,2,FALSE)*M11)+IF($D11="",0,VLOOKUP($D11,[5]Hoja1!$C$11:$D$27,2,FALSE)*N11)+IF($F11="",0,VLOOKUP($F11,[5]Hoja1!$C$11:$D$27,2,FALSE)*P11)+IF(R11="",0,R11*0.5)</f>
        <v>3</v>
      </c>
      <c r="U11" s="199" t="str">
        <f t="shared" si="13"/>
        <v/>
      </c>
      <c r="V11" s="199"/>
      <c r="W11" s="204">
        <v>2.25</v>
      </c>
      <c r="X11" s="200"/>
      <c r="Y11" s="200"/>
      <c r="Z11" s="200"/>
      <c r="AA11" s="200"/>
      <c r="AB11" s="326">
        <v>2</v>
      </c>
      <c r="AC11" s="326">
        <v>1</v>
      </c>
      <c r="AD11" s="327">
        <v>0.4</v>
      </c>
      <c r="AE11" s="200"/>
      <c r="AF11" s="200"/>
      <c r="AG11" s="205"/>
      <c r="AH11" s="206">
        <f t="shared" si="1"/>
        <v>8.65</v>
      </c>
      <c r="AI11" s="213"/>
      <c r="AJ11" s="199"/>
      <c r="AK11" s="199"/>
      <c r="AL11" s="199"/>
      <c r="AM11" s="207"/>
      <c r="AN11" s="208">
        <f t="shared" si="2"/>
        <v>0</v>
      </c>
      <c r="AO11" s="214"/>
      <c r="AP11" s="214"/>
      <c r="AQ11" s="210">
        <f t="shared" si="3"/>
        <v>0</v>
      </c>
      <c r="AR11" s="211">
        <f t="shared" si="4"/>
        <v>14.65</v>
      </c>
      <c r="AS11" s="405">
        <f t="shared" si="5"/>
        <v>0</v>
      </c>
      <c r="AT11" s="355">
        <v>10.1</v>
      </c>
      <c r="AU11" s="356">
        <f t="shared" si="6"/>
        <v>5.333333333333333</v>
      </c>
      <c r="AV11" s="386">
        <f t="shared" si="7"/>
        <v>0</v>
      </c>
      <c r="AW11" s="358">
        <f t="shared" si="8"/>
        <v>0</v>
      </c>
      <c r="AX11" s="356">
        <f t="shared" si="9"/>
        <v>4.7666666666666666</v>
      </c>
      <c r="AY11" s="387">
        <f t="shared" si="10"/>
        <v>0.528052805280528</v>
      </c>
      <c r="AZ11" s="388">
        <f t="shared" si="11"/>
        <v>0.47194719471947194</v>
      </c>
      <c r="BA11" s="287">
        <v>577739</v>
      </c>
      <c r="BB11" s="287">
        <f t="shared" si="12"/>
        <v>39436.109215017066</v>
      </c>
    </row>
    <row r="12" spans="1:54" ht="14.25" customHeight="1" thickBot="1" x14ac:dyDescent="0.3">
      <c r="A12" s="194" t="s">
        <v>732</v>
      </c>
      <c r="B12" s="195" t="s">
        <v>733</v>
      </c>
      <c r="C12" s="122" t="s">
        <v>126</v>
      </c>
      <c r="D12" s="123"/>
      <c r="E12" s="123"/>
      <c r="F12" s="123"/>
      <c r="G12" s="196"/>
      <c r="H12" s="196"/>
      <c r="I12" s="197"/>
      <c r="J12" s="197"/>
      <c r="K12" s="196" t="s">
        <v>318</v>
      </c>
      <c r="L12" s="212">
        <v>14.69</v>
      </c>
      <c r="M12" s="199"/>
      <c r="N12" s="199"/>
      <c r="O12" s="199"/>
      <c r="P12" s="199"/>
      <c r="Q12" s="200"/>
      <c r="R12" s="201" t="str">
        <f>IF(G12="x",1,"")</f>
        <v/>
      </c>
      <c r="S12" s="202">
        <f t="shared" si="0"/>
        <v>0</v>
      </c>
      <c r="T12" s="216">
        <f>IF($C12="",0,VLOOKUP($C12,[5]Hoja1!$C$11:$D$27,2,FALSE)*M12)+IF($D12="",0,VLOOKUP($D12,[5]Hoja1!$C$11:$D$27,2,FALSE)*N12)+IF($F12="",0,VLOOKUP($F12,[5]Hoja1!$C$11:$D$27,2,FALSE)*P12)+IF(R12="",0,R12*0.5)</f>
        <v>0</v>
      </c>
      <c r="U12" s="199" t="str">
        <f t="shared" si="13"/>
        <v/>
      </c>
      <c r="V12" s="199"/>
      <c r="W12" s="204"/>
      <c r="X12" s="200"/>
      <c r="Y12" s="332">
        <v>14.65</v>
      </c>
      <c r="Z12" s="200"/>
      <c r="AA12" s="200"/>
      <c r="AB12" s="326"/>
      <c r="AC12" s="326"/>
      <c r="AD12" s="327"/>
      <c r="AE12" s="200"/>
      <c r="AF12" s="200"/>
      <c r="AG12" s="205"/>
      <c r="AH12" s="206">
        <f t="shared" si="1"/>
        <v>14.65</v>
      </c>
      <c r="AI12" s="213"/>
      <c r="AJ12" s="199"/>
      <c r="AK12" s="199"/>
      <c r="AL12" s="199"/>
      <c r="AM12" s="207"/>
      <c r="AN12" s="208">
        <f t="shared" si="2"/>
        <v>0</v>
      </c>
      <c r="AO12" s="214"/>
      <c r="AP12" s="214"/>
      <c r="AQ12" s="210">
        <f t="shared" si="3"/>
        <v>0</v>
      </c>
      <c r="AR12" s="211">
        <f t="shared" si="4"/>
        <v>14.65</v>
      </c>
      <c r="AS12" s="405">
        <f t="shared" si="5"/>
        <v>3.9999999999999147E-2</v>
      </c>
      <c r="AT12" s="355">
        <v>7</v>
      </c>
      <c r="AU12" s="356">
        <f t="shared" si="6"/>
        <v>0</v>
      </c>
      <c r="AV12" s="386">
        <f t="shared" si="7"/>
        <v>0</v>
      </c>
      <c r="AW12" s="358">
        <f t="shared" si="8"/>
        <v>0</v>
      </c>
      <c r="AX12" s="356">
        <f t="shared" si="9"/>
        <v>7</v>
      </c>
      <c r="AY12" s="387"/>
      <c r="AZ12" s="388"/>
      <c r="BA12" s="287">
        <v>913456</v>
      </c>
      <c r="BB12" s="287">
        <f t="shared" si="12"/>
        <v>62182.164737916952</v>
      </c>
    </row>
    <row r="13" spans="1:54" ht="14.25" customHeight="1" thickBot="1" x14ac:dyDescent="0.3">
      <c r="A13" s="194" t="s">
        <v>734</v>
      </c>
      <c r="B13" s="195" t="s">
        <v>735</v>
      </c>
      <c r="C13" s="122" t="s">
        <v>55</v>
      </c>
      <c r="D13" s="123"/>
      <c r="E13" s="123"/>
      <c r="F13" s="123"/>
      <c r="G13" s="196" t="s">
        <v>609</v>
      </c>
      <c r="H13" s="196"/>
      <c r="I13" s="197"/>
      <c r="J13" s="197"/>
      <c r="K13" s="196" t="s">
        <v>349</v>
      </c>
      <c r="L13" s="212">
        <v>46.9</v>
      </c>
      <c r="M13" s="199">
        <v>12</v>
      </c>
      <c r="N13" s="199"/>
      <c r="O13" s="199"/>
      <c r="P13" s="199"/>
      <c r="Q13" s="200"/>
      <c r="R13" s="201">
        <v>1</v>
      </c>
      <c r="S13" s="202">
        <f t="shared" si="0"/>
        <v>13</v>
      </c>
      <c r="T13" s="216">
        <f>IF($C13="",0,VLOOKUP($C13,[5]Hoja1!$C$11:$D$27,2,FALSE)*M13)+IF($D13="",0,VLOOKUP($D13,[5]Hoja1!$C$11:$D$27,2,FALSE)*N13)+IF($F13="",0,VLOOKUP($F13,[5]Hoja1!$C$11:$D$27,2,FALSE)*P13)+IF(R13="",0,R13*0.5)</f>
        <v>7.6999999999999993</v>
      </c>
      <c r="U13" s="199">
        <f t="shared" si="13"/>
        <v>4</v>
      </c>
      <c r="V13" s="199">
        <v>4</v>
      </c>
      <c r="W13" s="204">
        <v>2.25</v>
      </c>
      <c r="X13" s="200"/>
      <c r="Y13" s="200"/>
      <c r="Z13" s="200"/>
      <c r="AA13" s="200"/>
      <c r="AB13" s="326">
        <v>2</v>
      </c>
      <c r="AC13" s="326">
        <v>2</v>
      </c>
      <c r="AD13" s="327"/>
      <c r="AE13" s="200"/>
      <c r="AF13" s="200">
        <f>8+4</f>
        <v>12</v>
      </c>
      <c r="AG13" s="205" t="s">
        <v>736</v>
      </c>
      <c r="AH13" s="206">
        <f t="shared" si="1"/>
        <v>33.950000000000003</v>
      </c>
      <c r="AI13" s="213"/>
      <c r="AJ13" s="199"/>
      <c r="AK13" s="199"/>
      <c r="AL13" s="199"/>
      <c r="AM13" s="207"/>
      <c r="AN13" s="208">
        <f t="shared" si="2"/>
        <v>0</v>
      </c>
      <c r="AO13" s="214"/>
      <c r="AP13" s="214"/>
      <c r="AQ13" s="210">
        <f t="shared" si="3"/>
        <v>0</v>
      </c>
      <c r="AR13" s="211">
        <f t="shared" si="4"/>
        <v>46.95</v>
      </c>
      <c r="AS13" s="405">
        <f t="shared" si="5"/>
        <v>-5.0000000000004263E-2</v>
      </c>
      <c r="AT13" s="355">
        <v>35.200000000000003</v>
      </c>
      <c r="AU13" s="356">
        <f t="shared" si="6"/>
        <v>10</v>
      </c>
      <c r="AV13" s="386">
        <f t="shared" si="7"/>
        <v>0</v>
      </c>
      <c r="AW13" s="358">
        <f t="shared" si="8"/>
        <v>0</v>
      </c>
      <c r="AX13" s="356">
        <f t="shared" si="9"/>
        <v>25.200000000000003</v>
      </c>
      <c r="AY13" s="387">
        <f t="shared" ref="AY13:AY33" si="14">+AU13/(AU13+AX13)</f>
        <v>0.28409090909090906</v>
      </c>
      <c r="AZ13" s="388">
        <f t="shared" ref="AZ13:AZ33" si="15">+AX13/(AU13+AX13)</f>
        <v>0.71590909090909094</v>
      </c>
      <c r="BA13" s="287">
        <v>2203312</v>
      </c>
      <c r="BB13" s="287">
        <f t="shared" si="12"/>
        <v>46978.933901918979</v>
      </c>
    </row>
    <row r="14" spans="1:54" ht="14.25" customHeight="1" thickBot="1" x14ac:dyDescent="0.3">
      <c r="A14" s="194" t="s">
        <v>737</v>
      </c>
      <c r="B14" s="195" t="s">
        <v>738</v>
      </c>
      <c r="C14" s="122" t="s">
        <v>56</v>
      </c>
      <c r="D14" s="123"/>
      <c r="E14" s="123"/>
      <c r="F14" s="123"/>
      <c r="G14" s="196"/>
      <c r="H14" s="196"/>
      <c r="I14" s="197"/>
      <c r="J14" s="197"/>
      <c r="K14" s="196" t="s">
        <v>429</v>
      </c>
      <c r="L14" s="212">
        <v>27.25</v>
      </c>
      <c r="M14" s="199">
        <v>14</v>
      </c>
      <c r="N14" s="199"/>
      <c r="O14" s="199"/>
      <c r="P14" s="199"/>
      <c r="Q14" s="200"/>
      <c r="R14" s="201" t="str">
        <f>IF(G14="x",1,"")</f>
        <v/>
      </c>
      <c r="S14" s="202">
        <f t="shared" si="0"/>
        <v>14</v>
      </c>
      <c r="T14" s="216">
        <f>IF($C14="",0,VLOOKUP($C14,[5]Hoja1!$C$11:$D$27,2,FALSE)*M14)+IF($D14="",0,VLOOKUP($D14,[5]Hoja1!$C$11:$D$27,2,FALSE)*N14)+IF($F14="",0,VLOOKUP($F14,[5]Hoja1!$C$11:$D$27,2,FALSE)*P14)+IF(R14="",0,R14*0.5)</f>
        <v>7</v>
      </c>
      <c r="U14" s="199" t="str">
        <f t="shared" si="13"/>
        <v/>
      </c>
      <c r="V14" s="199"/>
      <c r="W14" s="204">
        <v>2.25</v>
      </c>
      <c r="X14" s="200"/>
      <c r="Y14" s="200"/>
      <c r="Z14" s="200"/>
      <c r="AA14" s="200"/>
      <c r="AB14" s="326">
        <v>2</v>
      </c>
      <c r="AC14" s="326">
        <v>1</v>
      </c>
      <c r="AD14" s="327">
        <v>1</v>
      </c>
      <c r="AE14" s="200"/>
      <c r="AF14" s="200"/>
      <c r="AG14" s="205"/>
      <c r="AH14" s="206">
        <f t="shared" si="1"/>
        <v>13.25</v>
      </c>
      <c r="AI14" s="213"/>
      <c r="AJ14" s="199"/>
      <c r="AK14" s="199"/>
      <c r="AL14" s="199"/>
      <c r="AM14" s="207"/>
      <c r="AN14" s="208">
        <f t="shared" si="2"/>
        <v>0</v>
      </c>
      <c r="AO14" s="214"/>
      <c r="AP14" s="214"/>
      <c r="AQ14" s="210">
        <f t="shared" si="3"/>
        <v>0</v>
      </c>
      <c r="AR14" s="211">
        <f t="shared" si="4"/>
        <v>27.25</v>
      </c>
      <c r="AS14" s="405">
        <f t="shared" si="5"/>
        <v>0</v>
      </c>
      <c r="AT14" s="355">
        <v>20.233333333333334</v>
      </c>
      <c r="AU14" s="356">
        <f t="shared" si="6"/>
        <v>10.666666666666666</v>
      </c>
      <c r="AV14" s="386">
        <f t="shared" si="7"/>
        <v>0</v>
      </c>
      <c r="AW14" s="358">
        <f t="shared" si="8"/>
        <v>0</v>
      </c>
      <c r="AX14" s="356">
        <f t="shared" si="9"/>
        <v>9.5666666666666682</v>
      </c>
      <c r="AY14" s="387">
        <f t="shared" si="14"/>
        <v>0.52718286655683688</v>
      </c>
      <c r="AZ14" s="388">
        <f t="shared" si="15"/>
        <v>0.47281713344316317</v>
      </c>
      <c r="BA14" s="287">
        <v>1018083</v>
      </c>
      <c r="BB14" s="287">
        <f t="shared" si="12"/>
        <v>37360.84403669725</v>
      </c>
    </row>
    <row r="15" spans="1:54" ht="14.25" customHeight="1" thickBot="1" x14ac:dyDescent="0.3">
      <c r="A15" s="194" t="s">
        <v>739</v>
      </c>
      <c r="B15" s="195" t="s">
        <v>740</v>
      </c>
      <c r="C15" s="122" t="s">
        <v>55</v>
      </c>
      <c r="D15" s="123"/>
      <c r="E15" s="123"/>
      <c r="F15" s="123"/>
      <c r="G15" s="196" t="s">
        <v>609</v>
      </c>
      <c r="H15" s="196"/>
      <c r="I15" s="197"/>
      <c r="J15" s="197"/>
      <c r="K15" s="196" t="s">
        <v>349</v>
      </c>
      <c r="L15" s="212">
        <v>43.2</v>
      </c>
      <c r="M15" s="199">
        <v>16</v>
      </c>
      <c r="N15" s="199"/>
      <c r="O15" s="199"/>
      <c r="P15" s="199"/>
      <c r="Q15" s="200"/>
      <c r="R15" s="201">
        <v>1</v>
      </c>
      <c r="S15" s="202">
        <f t="shared" si="0"/>
        <v>17</v>
      </c>
      <c r="T15" s="216">
        <f>IF($C15="",0,VLOOKUP($C15,[5]Hoja1!$C$11:$D$27,2,FALSE)*M15)+IF($D15="",0,VLOOKUP($D15,[5]Hoja1!$C$11:$D$27,2,FALSE)*N15)+IF($F15="",0,VLOOKUP($F15,[5]Hoja1!$C$11:$D$27,2,FALSE)*P15)+IF(R15="",0,R15*0.5)</f>
        <v>10.1</v>
      </c>
      <c r="U15" s="199">
        <f t="shared" si="13"/>
        <v>4</v>
      </c>
      <c r="V15" s="199">
        <v>4</v>
      </c>
      <c r="W15" s="204">
        <v>2.25</v>
      </c>
      <c r="X15" s="200"/>
      <c r="Y15" s="200"/>
      <c r="Z15" s="200"/>
      <c r="AA15" s="200"/>
      <c r="AB15" s="326">
        <v>2</v>
      </c>
      <c r="AC15" s="326"/>
      <c r="AD15" s="327">
        <v>0.4</v>
      </c>
      <c r="AE15" s="200"/>
      <c r="AF15" s="200">
        <v>3.5</v>
      </c>
      <c r="AG15" s="205" t="s">
        <v>741</v>
      </c>
      <c r="AH15" s="206">
        <f t="shared" si="1"/>
        <v>26.25</v>
      </c>
      <c r="AI15" s="213"/>
      <c r="AJ15" s="199"/>
      <c r="AK15" s="199"/>
      <c r="AL15" s="199"/>
      <c r="AM15" s="207"/>
      <c r="AN15" s="208">
        <f t="shared" si="2"/>
        <v>0</v>
      </c>
      <c r="AO15" s="214"/>
      <c r="AP15" s="214"/>
      <c r="AQ15" s="210">
        <f t="shared" si="3"/>
        <v>0</v>
      </c>
      <c r="AR15" s="211">
        <f t="shared" si="4"/>
        <v>43.25</v>
      </c>
      <c r="AS15" s="405">
        <f t="shared" si="5"/>
        <v>-4.9999999999997158E-2</v>
      </c>
      <c r="AT15" s="355">
        <v>36.266666666666666</v>
      </c>
      <c r="AU15" s="356">
        <f t="shared" si="6"/>
        <v>12.666666666666666</v>
      </c>
      <c r="AV15" s="386">
        <f t="shared" si="7"/>
        <v>0</v>
      </c>
      <c r="AW15" s="358">
        <f t="shared" si="8"/>
        <v>0</v>
      </c>
      <c r="AX15" s="356">
        <f t="shared" si="9"/>
        <v>23.6</v>
      </c>
      <c r="AY15" s="387">
        <f t="shared" si="14"/>
        <v>0.34926470588235292</v>
      </c>
      <c r="AZ15" s="388">
        <f t="shared" si="15"/>
        <v>0.65073529411764708</v>
      </c>
      <c r="BA15" s="287">
        <v>1547489</v>
      </c>
      <c r="BB15" s="287">
        <f t="shared" si="12"/>
        <v>35821.504629629628</v>
      </c>
    </row>
    <row r="16" spans="1:54" ht="14.25" customHeight="1" thickBot="1" x14ac:dyDescent="0.3">
      <c r="A16" s="194" t="s">
        <v>742</v>
      </c>
      <c r="B16" s="195" t="s">
        <v>743</v>
      </c>
      <c r="C16" s="122" t="s">
        <v>126</v>
      </c>
      <c r="D16" s="123"/>
      <c r="E16" s="123"/>
      <c r="F16" s="123"/>
      <c r="G16" s="196" t="s">
        <v>609</v>
      </c>
      <c r="H16" s="196"/>
      <c r="I16" s="197"/>
      <c r="J16" s="197"/>
      <c r="K16" s="196" t="s">
        <v>318</v>
      </c>
      <c r="L16" s="212">
        <v>42.68</v>
      </c>
      <c r="M16" s="332">
        <v>10</v>
      </c>
      <c r="N16" s="199"/>
      <c r="O16" s="199"/>
      <c r="P16" s="199"/>
      <c r="Q16" s="200"/>
      <c r="R16" s="201">
        <v>2</v>
      </c>
      <c r="S16" s="202">
        <f t="shared" si="0"/>
        <v>12</v>
      </c>
      <c r="T16" s="199">
        <v>3.5</v>
      </c>
      <c r="U16" s="199">
        <f t="shared" si="13"/>
        <v>4</v>
      </c>
      <c r="V16" s="199">
        <v>4</v>
      </c>
      <c r="W16" s="204">
        <v>2.25</v>
      </c>
      <c r="X16" s="200"/>
      <c r="Y16" s="332">
        <v>14.63</v>
      </c>
      <c r="Z16" s="200"/>
      <c r="AA16" s="200"/>
      <c r="AB16" s="326">
        <v>2</v>
      </c>
      <c r="AC16" s="326">
        <v>1</v>
      </c>
      <c r="AD16" s="327">
        <v>0.3</v>
      </c>
      <c r="AE16" s="200"/>
      <c r="AF16" s="200"/>
      <c r="AG16" s="205"/>
      <c r="AH16" s="206">
        <f t="shared" si="1"/>
        <v>31.680000000000003</v>
      </c>
      <c r="AI16" s="213"/>
      <c r="AJ16" s="199"/>
      <c r="AK16" s="199"/>
      <c r="AL16" s="199"/>
      <c r="AM16" s="207"/>
      <c r="AN16" s="208">
        <f t="shared" si="2"/>
        <v>0</v>
      </c>
      <c r="AO16" s="214"/>
      <c r="AP16" s="214"/>
      <c r="AQ16" s="210">
        <f t="shared" si="3"/>
        <v>0</v>
      </c>
      <c r="AR16" s="211">
        <f t="shared" si="4"/>
        <v>43.680000000000007</v>
      </c>
      <c r="AS16" s="405">
        <f t="shared" si="5"/>
        <v>-1.0000000000000071</v>
      </c>
      <c r="AT16" s="355">
        <v>31.2</v>
      </c>
      <c r="AU16" s="356">
        <f t="shared" si="6"/>
        <v>9.3333333333333339</v>
      </c>
      <c r="AV16" s="386">
        <f t="shared" si="7"/>
        <v>0</v>
      </c>
      <c r="AW16" s="358">
        <f t="shared" si="8"/>
        <v>0</v>
      </c>
      <c r="AX16" s="356">
        <f t="shared" si="9"/>
        <v>21.866666666666667</v>
      </c>
      <c r="AY16" s="387">
        <f t="shared" si="14"/>
        <v>0.29914529914529914</v>
      </c>
      <c r="AZ16" s="388">
        <f t="shared" si="15"/>
        <v>0.70085470085470081</v>
      </c>
      <c r="BA16" s="287">
        <v>1586696</v>
      </c>
      <c r="BB16" s="287">
        <f t="shared" si="12"/>
        <v>37176.569821930651</v>
      </c>
    </row>
    <row r="17" spans="1:54" ht="14.25" customHeight="1" thickBot="1" x14ac:dyDescent="0.3">
      <c r="A17" s="194" t="s">
        <v>744</v>
      </c>
      <c r="B17" s="195" t="s">
        <v>745</v>
      </c>
      <c r="C17" s="122" t="s">
        <v>55</v>
      </c>
      <c r="D17" s="123"/>
      <c r="E17" s="123"/>
      <c r="F17" s="123"/>
      <c r="G17" s="196"/>
      <c r="H17" s="196"/>
      <c r="I17" s="197"/>
      <c r="J17" s="197"/>
      <c r="K17" s="196" t="s">
        <v>349</v>
      </c>
      <c r="L17" s="212">
        <v>33.200000000000003</v>
      </c>
      <c r="M17" s="199">
        <v>16</v>
      </c>
      <c r="N17" s="199"/>
      <c r="O17" s="199"/>
      <c r="P17" s="199"/>
      <c r="Q17" s="200"/>
      <c r="R17" s="201" t="str">
        <f>IF(G17="x",1,"")</f>
        <v/>
      </c>
      <c r="S17" s="202">
        <f t="shared" si="0"/>
        <v>16</v>
      </c>
      <c r="T17" s="199">
        <f>IF($C17="",0,VLOOKUP($C17,[5]Hoja1!$C$11:$D$27,2,FALSE)*M17)+IF($D17="",0,VLOOKUP($D17,[5]Hoja1!$C$11:$D$27,2,FALSE)*N17)+IF($F17="",0,VLOOKUP($F17,[5]Hoja1!$C$11:$D$27,2,FALSE)*P17)+IF(R17="",0,R17*0.5)</f>
        <v>9.6</v>
      </c>
      <c r="U17" s="199" t="str">
        <f t="shared" si="13"/>
        <v/>
      </c>
      <c r="V17" s="199"/>
      <c r="W17" s="204">
        <v>2.25</v>
      </c>
      <c r="X17" s="200"/>
      <c r="Y17" s="200"/>
      <c r="Z17" s="200"/>
      <c r="AA17" s="200"/>
      <c r="AB17" s="326">
        <v>2</v>
      </c>
      <c r="AC17" s="326">
        <v>1</v>
      </c>
      <c r="AD17" s="327">
        <v>0.4</v>
      </c>
      <c r="AE17" s="200"/>
      <c r="AF17" s="200">
        <v>2</v>
      </c>
      <c r="AG17" s="205" t="s">
        <v>746</v>
      </c>
      <c r="AH17" s="206">
        <f t="shared" si="1"/>
        <v>17.25</v>
      </c>
      <c r="AI17" s="213"/>
      <c r="AJ17" s="199"/>
      <c r="AK17" s="199"/>
      <c r="AL17" s="199"/>
      <c r="AM17" s="207"/>
      <c r="AN17" s="208">
        <f t="shared" si="2"/>
        <v>0</v>
      </c>
      <c r="AO17" s="214"/>
      <c r="AP17" s="214"/>
      <c r="AQ17" s="210">
        <f t="shared" si="3"/>
        <v>0</v>
      </c>
      <c r="AR17" s="211">
        <f t="shared" si="4"/>
        <v>33.25</v>
      </c>
      <c r="AS17" s="405">
        <f t="shared" si="5"/>
        <v>-4.9999999999997158E-2</v>
      </c>
      <c r="AT17" s="355">
        <v>27.266666666666666</v>
      </c>
      <c r="AU17" s="356">
        <f t="shared" si="6"/>
        <v>12</v>
      </c>
      <c r="AV17" s="386">
        <f t="shared" si="7"/>
        <v>0</v>
      </c>
      <c r="AW17" s="358">
        <f t="shared" si="8"/>
        <v>0</v>
      </c>
      <c r="AX17" s="356">
        <f t="shared" si="9"/>
        <v>15.266666666666666</v>
      </c>
      <c r="AY17" s="387">
        <f t="shared" si="14"/>
        <v>0.44009779951100247</v>
      </c>
      <c r="AZ17" s="388">
        <f t="shared" si="15"/>
        <v>0.55990220048899753</v>
      </c>
      <c r="BA17" s="287">
        <v>1601169</v>
      </c>
      <c r="BB17" s="287">
        <f t="shared" si="12"/>
        <v>48227.98192771084</v>
      </c>
    </row>
    <row r="18" spans="1:54" ht="14.25" customHeight="1" thickBot="1" x14ac:dyDescent="0.3">
      <c r="A18" s="194" t="s">
        <v>747</v>
      </c>
      <c r="B18" s="195" t="s">
        <v>748</v>
      </c>
      <c r="C18" s="122" t="s">
        <v>126</v>
      </c>
      <c r="D18" s="123"/>
      <c r="E18" s="123"/>
      <c r="F18" s="123"/>
      <c r="G18" s="196" t="s">
        <v>609</v>
      </c>
      <c r="H18" s="196" t="s">
        <v>609</v>
      </c>
      <c r="I18" s="197"/>
      <c r="J18" s="197"/>
      <c r="K18" s="196" t="s">
        <v>318</v>
      </c>
      <c r="L18" s="212">
        <v>51.8</v>
      </c>
      <c r="M18" s="332">
        <v>10</v>
      </c>
      <c r="N18" s="199"/>
      <c r="O18" s="199"/>
      <c r="P18" s="199"/>
      <c r="Q18" s="200"/>
      <c r="R18" s="201">
        <v>1</v>
      </c>
      <c r="S18" s="202">
        <f t="shared" si="0"/>
        <v>11</v>
      </c>
      <c r="T18" s="199">
        <f>IF($C18="",0,VLOOKUP($C18,[5]Hoja1!$C$11:$D$27,2,FALSE)*M18)+IF($D18="",0,VLOOKUP($D18,[5]Hoja1!$C$11:$D$27,2,FALSE)*N18)+IF($F18="",0,VLOOKUP($F18,[5]Hoja1!$C$11:$D$27,2,FALSE)*P18)+IF(R18="",0,R18*0.5)</f>
        <v>3.5</v>
      </c>
      <c r="U18" s="199">
        <f t="shared" si="13"/>
        <v>4</v>
      </c>
      <c r="V18" s="199">
        <v>4</v>
      </c>
      <c r="W18" s="204">
        <v>2.25</v>
      </c>
      <c r="X18" s="200"/>
      <c r="Y18" s="332">
        <v>17.55</v>
      </c>
      <c r="Z18" s="200"/>
      <c r="AA18" s="200"/>
      <c r="AB18" s="326">
        <v>2</v>
      </c>
      <c r="AC18" s="326"/>
      <c r="AD18" s="327">
        <v>0.5</v>
      </c>
      <c r="AE18" s="200"/>
      <c r="AF18" s="200"/>
      <c r="AG18" s="205"/>
      <c r="AH18" s="206">
        <f t="shared" si="1"/>
        <v>33.799999999999997</v>
      </c>
      <c r="AI18" s="213"/>
      <c r="AJ18" s="199">
        <v>7</v>
      </c>
      <c r="AK18" s="199"/>
      <c r="AL18" s="199"/>
      <c r="AM18" s="207"/>
      <c r="AN18" s="208">
        <f t="shared" si="2"/>
        <v>7</v>
      </c>
      <c r="AO18" s="214"/>
      <c r="AP18" s="214"/>
      <c r="AQ18" s="210">
        <f t="shared" si="3"/>
        <v>0</v>
      </c>
      <c r="AR18" s="211">
        <f t="shared" si="4"/>
        <v>51.8</v>
      </c>
      <c r="AS18" s="405">
        <f t="shared" si="5"/>
        <v>0</v>
      </c>
      <c r="AT18" s="355">
        <v>38.383333333333333</v>
      </c>
      <c r="AU18" s="356">
        <f t="shared" si="6"/>
        <v>8.6666666666666661</v>
      </c>
      <c r="AV18" s="386">
        <f t="shared" si="7"/>
        <v>4.666666666666667</v>
      </c>
      <c r="AW18" s="358">
        <f t="shared" si="8"/>
        <v>0</v>
      </c>
      <c r="AX18" s="356">
        <f t="shared" si="9"/>
        <v>25.05</v>
      </c>
      <c r="AY18" s="387">
        <f t="shared" si="14"/>
        <v>0.25704399406821549</v>
      </c>
      <c r="AZ18" s="388">
        <f t="shared" si="15"/>
        <v>0.74295600593178446</v>
      </c>
      <c r="BA18" s="287">
        <v>3108000</v>
      </c>
      <c r="BB18" s="287">
        <f t="shared" si="12"/>
        <v>60000</v>
      </c>
    </row>
    <row r="19" spans="1:54" ht="14.25" customHeight="1" thickBot="1" x14ac:dyDescent="0.3">
      <c r="A19" s="194" t="s">
        <v>749</v>
      </c>
      <c r="B19" s="195" t="s">
        <v>750</v>
      </c>
      <c r="C19" s="122" t="s">
        <v>99</v>
      </c>
      <c r="D19" s="123"/>
      <c r="E19" s="123"/>
      <c r="F19" s="123"/>
      <c r="G19" s="196"/>
      <c r="H19" s="196"/>
      <c r="I19" s="197"/>
      <c r="J19" s="197"/>
      <c r="K19" s="196" t="s">
        <v>318</v>
      </c>
      <c r="L19" s="212">
        <v>33.25</v>
      </c>
      <c r="M19" s="199">
        <v>20</v>
      </c>
      <c r="N19" s="199"/>
      <c r="O19" s="199"/>
      <c r="P19" s="199"/>
      <c r="Q19" s="200"/>
      <c r="R19" s="201" t="str">
        <f>IF(G19="x",1,"")</f>
        <v/>
      </c>
      <c r="S19" s="202">
        <f t="shared" si="0"/>
        <v>20</v>
      </c>
      <c r="T19" s="199">
        <f>IF($C19="",0,VLOOKUP($C19,[5]Hoja1!$C$11:$D$27,2,FALSE)*M19)+IF($D19="",0,VLOOKUP($D19,[5]Hoja1!$C$11:$D$27,2,FALSE)*N19)+IF($F19="",0,VLOOKUP($F19,[5]Hoja1!$C$11:$D$27,2,FALSE)*P19)+IF(R19="",0,R19*0.5)</f>
        <v>6</v>
      </c>
      <c r="U19" s="199" t="str">
        <f t="shared" si="13"/>
        <v/>
      </c>
      <c r="V19" s="199"/>
      <c r="W19" s="204">
        <v>2.25</v>
      </c>
      <c r="X19" s="200"/>
      <c r="Y19" s="200"/>
      <c r="Z19" s="200"/>
      <c r="AA19" s="200"/>
      <c r="AB19" s="326">
        <v>2</v>
      </c>
      <c r="AC19" s="326"/>
      <c r="AD19" s="327">
        <v>3</v>
      </c>
      <c r="AE19" s="200"/>
      <c r="AF19" s="200"/>
      <c r="AG19" s="205"/>
      <c r="AH19" s="206">
        <f t="shared" si="1"/>
        <v>13.25</v>
      </c>
      <c r="AI19" s="213"/>
      <c r="AJ19" s="199"/>
      <c r="AK19" s="199"/>
      <c r="AL19" s="199"/>
      <c r="AM19" s="207"/>
      <c r="AN19" s="208">
        <f t="shared" si="2"/>
        <v>0</v>
      </c>
      <c r="AO19" s="214"/>
      <c r="AP19" s="214"/>
      <c r="AQ19" s="210">
        <f t="shared" si="3"/>
        <v>0</v>
      </c>
      <c r="AR19" s="211">
        <f t="shared" si="4"/>
        <v>33.25</v>
      </c>
      <c r="AS19" s="405">
        <f t="shared" si="5"/>
        <v>0</v>
      </c>
      <c r="AT19" s="355">
        <v>23.333333333333332</v>
      </c>
      <c r="AU19" s="356">
        <f t="shared" si="6"/>
        <v>14.666666666666666</v>
      </c>
      <c r="AV19" s="386">
        <f t="shared" si="7"/>
        <v>0</v>
      </c>
      <c r="AW19" s="358">
        <f t="shared" si="8"/>
        <v>0</v>
      </c>
      <c r="AX19" s="356">
        <f t="shared" si="9"/>
        <v>8.6666666666666661</v>
      </c>
      <c r="AY19" s="387">
        <f t="shared" si="14"/>
        <v>0.62857142857142856</v>
      </c>
      <c r="AZ19" s="388">
        <f t="shared" si="15"/>
        <v>0.37142857142857144</v>
      </c>
      <c r="BA19" s="287">
        <v>1515928</v>
      </c>
      <c r="BB19" s="287">
        <f t="shared" si="12"/>
        <v>45591.819548872183</v>
      </c>
    </row>
    <row r="20" spans="1:54" ht="14.25" customHeight="1" thickBot="1" x14ac:dyDescent="0.3">
      <c r="A20" s="194" t="s">
        <v>751</v>
      </c>
      <c r="B20" s="195" t="s">
        <v>752</v>
      </c>
      <c r="C20" s="122" t="s">
        <v>180</v>
      </c>
      <c r="D20" s="123"/>
      <c r="E20" s="123"/>
      <c r="F20" s="123"/>
      <c r="G20" s="196" t="s">
        <v>609</v>
      </c>
      <c r="H20" s="196" t="s">
        <v>609</v>
      </c>
      <c r="I20" s="197"/>
      <c r="J20" s="197"/>
      <c r="K20" s="196" t="s">
        <v>318</v>
      </c>
      <c r="L20" s="212">
        <v>50.4</v>
      </c>
      <c r="M20" s="332">
        <v>16</v>
      </c>
      <c r="N20" s="199"/>
      <c r="O20" s="199"/>
      <c r="P20" s="199"/>
      <c r="Q20" s="200"/>
      <c r="R20" s="201">
        <v>1</v>
      </c>
      <c r="S20" s="202">
        <f t="shared" si="0"/>
        <v>17</v>
      </c>
      <c r="T20" s="199">
        <f>IF($C20="",0,VLOOKUP($C20,[5]Hoja1!$C$11:$D$27,2,FALSE)*M20)+IF($D20="",0,VLOOKUP($D20,[5]Hoja1!$C$11:$D$27,2,FALSE)*N20)+IF($F20="",0,VLOOKUP($F20,[5]Hoja1!$C$11:$D$27,2,FALSE)*P20)+IF(R20="",0,R20*0.5)</f>
        <v>5.3</v>
      </c>
      <c r="U20" s="199">
        <f t="shared" si="13"/>
        <v>4</v>
      </c>
      <c r="V20" s="199">
        <v>4</v>
      </c>
      <c r="W20" s="204">
        <v>2.25</v>
      </c>
      <c r="X20" s="200"/>
      <c r="Y20" s="332">
        <v>2.2999999999999998</v>
      </c>
      <c r="Z20" s="200"/>
      <c r="AA20" s="200"/>
      <c r="AB20" s="326">
        <v>3</v>
      </c>
      <c r="AC20" s="326"/>
      <c r="AD20" s="327"/>
      <c r="AE20" s="200"/>
      <c r="AF20" s="200">
        <v>2</v>
      </c>
      <c r="AG20" s="205" t="s">
        <v>753</v>
      </c>
      <c r="AH20" s="206">
        <f t="shared" si="1"/>
        <v>22.85</v>
      </c>
      <c r="AI20" s="213"/>
      <c r="AJ20" s="199">
        <v>9</v>
      </c>
      <c r="AK20" s="199"/>
      <c r="AL20" s="199"/>
      <c r="AM20" s="207"/>
      <c r="AN20" s="208">
        <f t="shared" si="2"/>
        <v>9</v>
      </c>
      <c r="AO20" s="214"/>
      <c r="AP20" s="214"/>
      <c r="AQ20" s="210">
        <f t="shared" si="3"/>
        <v>0</v>
      </c>
      <c r="AR20" s="211">
        <f t="shared" si="4"/>
        <v>48.85</v>
      </c>
      <c r="AS20" s="405">
        <f t="shared" si="5"/>
        <v>1.5499999999999972</v>
      </c>
      <c r="AT20" s="355">
        <v>33.299999999999997</v>
      </c>
      <c r="AU20" s="356">
        <f t="shared" si="6"/>
        <v>13.333333333333334</v>
      </c>
      <c r="AV20" s="386">
        <f t="shared" si="7"/>
        <v>6</v>
      </c>
      <c r="AW20" s="358">
        <f t="shared" si="8"/>
        <v>0</v>
      </c>
      <c r="AX20" s="356">
        <f t="shared" si="9"/>
        <v>13.966666666666661</v>
      </c>
      <c r="AY20" s="387">
        <f t="shared" si="14"/>
        <v>0.4884004884004885</v>
      </c>
      <c r="AZ20" s="388">
        <f t="shared" si="15"/>
        <v>0.51159951159951145</v>
      </c>
      <c r="BA20" s="287">
        <v>2106608</v>
      </c>
      <c r="BB20" s="287">
        <f t="shared" si="12"/>
        <v>41797.777777777781</v>
      </c>
    </row>
    <row r="21" spans="1:54" ht="14.25" customHeight="1" thickBot="1" x14ac:dyDescent="0.3">
      <c r="A21" s="194" t="s">
        <v>913</v>
      </c>
      <c r="B21" s="195" t="s">
        <v>914</v>
      </c>
      <c r="C21" s="122" t="s">
        <v>114</v>
      </c>
      <c r="D21" s="123"/>
      <c r="E21" s="123"/>
      <c r="F21" s="123"/>
      <c r="G21" s="196" t="s">
        <v>609</v>
      </c>
      <c r="H21" s="196"/>
      <c r="I21" s="197"/>
      <c r="J21" s="197"/>
      <c r="K21" s="196" t="s">
        <v>290</v>
      </c>
      <c r="L21" s="212">
        <v>42</v>
      </c>
      <c r="M21" s="199">
        <v>16</v>
      </c>
      <c r="N21" s="199"/>
      <c r="O21" s="199"/>
      <c r="P21" s="199"/>
      <c r="Q21" s="200">
        <v>6</v>
      </c>
      <c r="R21" s="201">
        <v>1</v>
      </c>
      <c r="S21" s="202">
        <f t="shared" si="0"/>
        <v>23</v>
      </c>
      <c r="T21" s="199">
        <f>IF($C21="",0,VLOOKUP($C21,[5]Hoja1!$C$11:$D$27,2,FALSE)*M21)+IF($D21="",0,VLOOKUP($D21,[5]Hoja1!$C$11:$D$27,2,FALSE)*N21)+IF($F21="",0,VLOOKUP($F21,[5]Hoja1!$C$11:$D$27,2,FALSE)*P21)+IF(R21="",0,R21*0.5)</f>
        <v>8.5</v>
      </c>
      <c r="U21" s="199">
        <v>5</v>
      </c>
      <c r="V21" s="199"/>
      <c r="W21" s="204">
        <v>2.25</v>
      </c>
      <c r="X21" s="200"/>
      <c r="Y21" s="200"/>
      <c r="Z21" s="200"/>
      <c r="AA21" s="200"/>
      <c r="AB21" s="326">
        <v>3</v>
      </c>
      <c r="AC21" s="326"/>
      <c r="AD21" s="327">
        <v>0.25</v>
      </c>
      <c r="AE21" s="200"/>
      <c r="AF21" s="200"/>
      <c r="AG21" s="205"/>
      <c r="AH21" s="206">
        <f t="shared" si="1"/>
        <v>19</v>
      </c>
      <c r="AI21" s="213"/>
      <c r="AJ21" s="199"/>
      <c r="AK21" s="199"/>
      <c r="AL21" s="199"/>
      <c r="AM21" s="207"/>
      <c r="AN21" s="208">
        <f t="shared" si="2"/>
        <v>0</v>
      </c>
      <c r="AO21" s="214"/>
      <c r="AP21" s="214"/>
      <c r="AQ21" s="210">
        <f t="shared" si="3"/>
        <v>0</v>
      </c>
      <c r="AR21" s="211">
        <f t="shared" si="4"/>
        <v>42</v>
      </c>
      <c r="AS21" s="405">
        <f t="shared" si="5"/>
        <v>0</v>
      </c>
      <c r="AT21" s="355">
        <v>29.166666666666668</v>
      </c>
      <c r="AU21" s="356">
        <f t="shared" si="6"/>
        <v>17.333333333333332</v>
      </c>
      <c r="AV21" s="386">
        <f t="shared" si="7"/>
        <v>0</v>
      </c>
      <c r="AW21" s="358">
        <f t="shared" si="8"/>
        <v>0</v>
      </c>
      <c r="AX21" s="356">
        <f t="shared" si="9"/>
        <v>11.833333333333336</v>
      </c>
      <c r="AY21" s="387">
        <f t="shared" si="14"/>
        <v>0.59428571428571419</v>
      </c>
      <c r="AZ21" s="388">
        <f t="shared" si="15"/>
        <v>0.40571428571428581</v>
      </c>
      <c r="BA21" s="287">
        <v>1287639</v>
      </c>
      <c r="BB21" s="287">
        <f t="shared" si="12"/>
        <v>30658.071428571428</v>
      </c>
    </row>
    <row r="22" spans="1:54" ht="14.25" customHeight="1" thickBot="1" x14ac:dyDescent="0.3">
      <c r="A22" s="194" t="s">
        <v>756</v>
      </c>
      <c r="B22" s="195" t="s">
        <v>757</v>
      </c>
      <c r="C22" s="122" t="s">
        <v>126</v>
      </c>
      <c r="D22" s="123"/>
      <c r="E22" s="123"/>
      <c r="F22" s="123"/>
      <c r="G22" s="196"/>
      <c r="H22" s="196"/>
      <c r="I22" s="197"/>
      <c r="J22" s="197"/>
      <c r="K22" s="196" t="s">
        <v>309</v>
      </c>
      <c r="L22" s="212">
        <v>35.14</v>
      </c>
      <c r="M22" s="332">
        <v>14</v>
      </c>
      <c r="N22" s="199"/>
      <c r="O22" s="199"/>
      <c r="P22" s="199"/>
      <c r="Q22" s="200"/>
      <c r="R22" s="201"/>
      <c r="S22" s="202">
        <f t="shared" si="0"/>
        <v>14</v>
      </c>
      <c r="T22" s="199">
        <f>IF($C22="",0,VLOOKUP($C22,[5]Hoja1!$C$11:$D$27,2,FALSE)*M22)+IF($D22="",0,VLOOKUP($D22,[5]Hoja1!$C$11:$D$27,2,FALSE)*N22)+IF($F22="",0,VLOOKUP($F22,[5]Hoja1!$C$11:$D$27,2,FALSE)*P22)+IF(R22="",0,R22*0.5)</f>
        <v>4.2</v>
      </c>
      <c r="U22" s="199"/>
      <c r="V22" s="199"/>
      <c r="W22" s="204">
        <v>2.25</v>
      </c>
      <c r="X22" s="200"/>
      <c r="Y22" s="332">
        <v>14.63</v>
      </c>
      <c r="Z22" s="200"/>
      <c r="AA22" s="200"/>
      <c r="AB22" s="326"/>
      <c r="AC22" s="326"/>
      <c r="AD22" s="327"/>
      <c r="AE22" s="200"/>
      <c r="AF22" s="200"/>
      <c r="AG22" s="205"/>
      <c r="AH22" s="206">
        <f t="shared" si="1"/>
        <v>21.080000000000002</v>
      </c>
      <c r="AI22" s="213"/>
      <c r="AJ22" s="199"/>
      <c r="AK22" s="199"/>
      <c r="AL22" s="199"/>
      <c r="AM22" s="207"/>
      <c r="AN22" s="208">
        <f t="shared" si="2"/>
        <v>0</v>
      </c>
      <c r="AO22" s="214"/>
      <c r="AP22" s="214"/>
      <c r="AQ22" s="210">
        <f t="shared" si="3"/>
        <v>0</v>
      </c>
      <c r="AR22" s="211">
        <f t="shared" si="4"/>
        <v>35.08</v>
      </c>
      <c r="AS22" s="405">
        <f t="shared" si="5"/>
        <v>6.0000000000002274E-2</v>
      </c>
      <c r="AT22" s="355">
        <v>27.416666666666668</v>
      </c>
      <c r="AU22" s="356">
        <f t="shared" si="6"/>
        <v>9.3333333333333339</v>
      </c>
      <c r="AV22" s="386">
        <f t="shared" si="7"/>
        <v>0</v>
      </c>
      <c r="AW22" s="358">
        <f t="shared" si="8"/>
        <v>0</v>
      </c>
      <c r="AX22" s="356">
        <f t="shared" si="9"/>
        <v>18.083333333333336</v>
      </c>
      <c r="AY22" s="387">
        <f t="shared" si="14"/>
        <v>0.34042553191489355</v>
      </c>
      <c r="AZ22" s="388">
        <f t="shared" si="15"/>
        <v>0.65957446808510634</v>
      </c>
      <c r="BA22" s="287">
        <v>995325</v>
      </c>
      <c r="BB22" s="287">
        <f t="shared" si="12"/>
        <v>28324.558907228231</v>
      </c>
    </row>
    <row r="23" spans="1:54" ht="14.25" customHeight="1" thickBot="1" x14ac:dyDescent="0.3">
      <c r="A23" s="194" t="s">
        <v>758</v>
      </c>
      <c r="B23" s="195" t="s">
        <v>759</v>
      </c>
      <c r="C23" s="122" t="s">
        <v>126</v>
      </c>
      <c r="D23" s="123"/>
      <c r="E23" s="123"/>
      <c r="F23" s="123"/>
      <c r="G23" s="196"/>
      <c r="H23" s="196"/>
      <c r="I23" s="197"/>
      <c r="J23" s="197"/>
      <c r="K23" s="196" t="s">
        <v>318</v>
      </c>
      <c r="L23" s="212">
        <v>37.67</v>
      </c>
      <c r="M23" s="332">
        <v>16</v>
      </c>
      <c r="N23" s="199"/>
      <c r="O23" s="199"/>
      <c r="P23" s="199"/>
      <c r="Q23" s="200"/>
      <c r="R23" s="201" t="str">
        <f>IF(G23="x",1,"")</f>
        <v/>
      </c>
      <c r="S23" s="202">
        <f t="shared" si="0"/>
        <v>16</v>
      </c>
      <c r="T23" s="199">
        <f>IF($C23="",0,VLOOKUP($C23,[5]Hoja1!$C$11:$D$27,2,FALSE)*M23)+IF($D23="",0,VLOOKUP($D23,[5]Hoja1!$C$11:$D$27,2,FALSE)*N23)+IF($F23="",0,VLOOKUP($F23,[5]Hoja1!$C$11:$D$27,2,FALSE)*P23)+IF(R23="",0,R23*0.5)</f>
        <v>4.8</v>
      </c>
      <c r="U23" s="199" t="str">
        <f t="shared" ref="U23:U38" si="16">IF(G23="x",4,"")</f>
        <v/>
      </c>
      <c r="V23" s="199"/>
      <c r="W23" s="204">
        <v>2.25</v>
      </c>
      <c r="X23" s="200"/>
      <c r="Y23" s="332">
        <v>14.62</v>
      </c>
      <c r="Z23" s="200"/>
      <c r="AA23" s="200"/>
      <c r="AB23" s="326"/>
      <c r="AC23" s="326"/>
      <c r="AD23" s="327"/>
      <c r="AE23" s="200"/>
      <c r="AF23" s="200"/>
      <c r="AG23" s="205"/>
      <c r="AH23" s="206">
        <f t="shared" si="1"/>
        <v>21.669999999999998</v>
      </c>
      <c r="AI23" s="213"/>
      <c r="AJ23" s="199"/>
      <c r="AK23" s="199"/>
      <c r="AL23" s="199"/>
      <c r="AM23" s="207"/>
      <c r="AN23" s="208">
        <f t="shared" si="2"/>
        <v>0</v>
      </c>
      <c r="AO23" s="214"/>
      <c r="AP23" s="214"/>
      <c r="AQ23" s="210">
        <f t="shared" si="3"/>
        <v>0</v>
      </c>
      <c r="AR23" s="211">
        <f t="shared" si="4"/>
        <v>37.67</v>
      </c>
      <c r="AS23" s="405">
        <f t="shared" si="5"/>
        <v>0</v>
      </c>
      <c r="AT23" s="355">
        <v>28.45</v>
      </c>
      <c r="AU23" s="356">
        <f t="shared" si="6"/>
        <v>10.666666666666666</v>
      </c>
      <c r="AV23" s="386">
        <f t="shared" si="7"/>
        <v>0</v>
      </c>
      <c r="AW23" s="358">
        <f t="shared" si="8"/>
        <v>0</v>
      </c>
      <c r="AX23" s="356">
        <f t="shared" si="9"/>
        <v>17.783333333333331</v>
      </c>
      <c r="AY23" s="387">
        <f t="shared" si="14"/>
        <v>0.37492677211482134</v>
      </c>
      <c r="AZ23" s="388">
        <f t="shared" si="15"/>
        <v>0.62507322788517872</v>
      </c>
      <c r="BA23" s="287">
        <v>1544470</v>
      </c>
      <c r="BB23" s="287">
        <f t="shared" si="12"/>
        <v>41000</v>
      </c>
    </row>
    <row r="24" spans="1:54" ht="14.25" customHeight="1" thickBot="1" x14ac:dyDescent="0.3">
      <c r="A24" s="194" t="s">
        <v>760</v>
      </c>
      <c r="B24" s="195" t="s">
        <v>761</v>
      </c>
      <c r="C24" s="122" t="s">
        <v>80</v>
      </c>
      <c r="D24" s="123"/>
      <c r="E24" s="123"/>
      <c r="F24" s="123"/>
      <c r="G24" s="196"/>
      <c r="H24" s="196"/>
      <c r="I24" s="197"/>
      <c r="J24" s="197"/>
      <c r="K24" s="196" t="s">
        <v>762</v>
      </c>
      <c r="L24" s="212">
        <v>48</v>
      </c>
      <c r="M24" s="199">
        <v>38.5</v>
      </c>
      <c r="N24" s="199"/>
      <c r="O24" s="199"/>
      <c r="P24" s="199"/>
      <c r="Q24" s="200"/>
      <c r="R24" s="201" t="str">
        <f>IF(G24="x",1,"")</f>
        <v/>
      </c>
      <c r="S24" s="202">
        <f t="shared" si="0"/>
        <v>38.5</v>
      </c>
      <c r="T24" s="199">
        <v>5.25</v>
      </c>
      <c r="U24" s="199" t="str">
        <f t="shared" si="16"/>
        <v/>
      </c>
      <c r="V24" s="199"/>
      <c r="W24" s="204">
        <v>2.25</v>
      </c>
      <c r="X24" s="200"/>
      <c r="Y24" s="200"/>
      <c r="Z24" s="200"/>
      <c r="AA24" s="200"/>
      <c r="AB24" s="326"/>
      <c r="AC24" s="326"/>
      <c r="AD24" s="327"/>
      <c r="AE24" s="200"/>
      <c r="AF24" s="200">
        <v>2</v>
      </c>
      <c r="AG24" s="205" t="s">
        <v>763</v>
      </c>
      <c r="AH24" s="206">
        <f t="shared" si="1"/>
        <v>9.5</v>
      </c>
      <c r="AI24" s="213"/>
      <c r="AJ24" s="199"/>
      <c r="AK24" s="199"/>
      <c r="AL24" s="199"/>
      <c r="AM24" s="207"/>
      <c r="AN24" s="208">
        <f t="shared" si="2"/>
        <v>0</v>
      </c>
      <c r="AO24" s="214"/>
      <c r="AP24" s="214"/>
      <c r="AQ24" s="210">
        <f t="shared" si="3"/>
        <v>0</v>
      </c>
      <c r="AR24" s="211">
        <f t="shared" si="4"/>
        <v>48</v>
      </c>
      <c r="AS24" s="405">
        <f t="shared" si="5"/>
        <v>0</v>
      </c>
      <c r="AT24" s="355">
        <v>33.549999999999997</v>
      </c>
      <c r="AU24" s="356">
        <f t="shared" si="6"/>
        <v>25.666666666666668</v>
      </c>
      <c r="AV24" s="386">
        <f t="shared" si="7"/>
        <v>0</v>
      </c>
      <c r="AW24" s="358">
        <f t="shared" si="8"/>
        <v>0</v>
      </c>
      <c r="AX24" s="356">
        <f t="shared" si="9"/>
        <v>7.8833333333333293</v>
      </c>
      <c r="AY24" s="409">
        <f t="shared" si="14"/>
        <v>0.76502732240437166</v>
      </c>
      <c r="AZ24" s="410">
        <f t="shared" si="15"/>
        <v>0.23497267759562832</v>
      </c>
      <c r="BA24" s="287">
        <v>1424422</v>
      </c>
      <c r="BB24" s="287">
        <f t="shared" si="12"/>
        <v>29675.458333333332</v>
      </c>
    </row>
    <row r="25" spans="1:54" ht="14.25" customHeight="1" thickBot="1" x14ac:dyDescent="0.3">
      <c r="A25" s="194" t="s">
        <v>764</v>
      </c>
      <c r="B25" s="195" t="s">
        <v>765</v>
      </c>
      <c r="C25" s="122" t="s">
        <v>109</v>
      </c>
      <c r="D25" s="123"/>
      <c r="E25" s="123"/>
      <c r="F25" s="123"/>
      <c r="G25" s="196"/>
      <c r="H25" s="196"/>
      <c r="I25" s="197"/>
      <c r="J25" s="197"/>
      <c r="K25" s="196" t="s">
        <v>318</v>
      </c>
      <c r="L25" s="212">
        <v>30.05</v>
      </c>
      <c r="M25" s="199">
        <v>18</v>
      </c>
      <c r="N25" s="199"/>
      <c r="O25" s="199"/>
      <c r="P25" s="199"/>
      <c r="Q25" s="200"/>
      <c r="R25" s="201" t="str">
        <f>IF(G25="x",1,"")</f>
        <v/>
      </c>
      <c r="S25" s="202">
        <f t="shared" si="0"/>
        <v>18</v>
      </c>
      <c r="T25" s="199">
        <f>IF($C25="",0,VLOOKUP($C25,[5]Hoja1!$C$11:$D$27,2,FALSE)*M25)+IF($D25="",0,VLOOKUP($D25,[5]Hoja1!$C$11:$D$27,2,FALSE)*N25)+IF($F25="",0,VLOOKUP($F25,[5]Hoja1!$C$11:$D$27,2,FALSE)*P25)+IF(R25="",0,R25*0.5)</f>
        <v>9</v>
      </c>
      <c r="U25" s="199" t="str">
        <f t="shared" si="16"/>
        <v/>
      </c>
      <c r="V25" s="199"/>
      <c r="W25" s="204">
        <v>2.25</v>
      </c>
      <c r="X25" s="200"/>
      <c r="Y25" s="200"/>
      <c r="Z25" s="200"/>
      <c r="AA25" s="200"/>
      <c r="AB25" s="326">
        <v>0.8</v>
      </c>
      <c r="AC25" s="326"/>
      <c r="AD25" s="327"/>
      <c r="AE25" s="200"/>
      <c r="AF25" s="200"/>
      <c r="AG25" s="205"/>
      <c r="AH25" s="206">
        <f t="shared" si="1"/>
        <v>12.05</v>
      </c>
      <c r="AI25" s="213"/>
      <c r="AJ25" s="199"/>
      <c r="AK25" s="199"/>
      <c r="AL25" s="199"/>
      <c r="AM25" s="207"/>
      <c r="AN25" s="208">
        <f t="shared" si="2"/>
        <v>0</v>
      </c>
      <c r="AO25" s="214"/>
      <c r="AP25" s="214"/>
      <c r="AQ25" s="210">
        <f t="shared" si="3"/>
        <v>0</v>
      </c>
      <c r="AR25" s="211">
        <f t="shared" si="4"/>
        <v>30.05</v>
      </c>
      <c r="AS25" s="405">
        <f t="shared" si="5"/>
        <v>0</v>
      </c>
      <c r="AT25" s="355">
        <v>21.3</v>
      </c>
      <c r="AU25" s="356">
        <f t="shared" si="6"/>
        <v>12.533333333333333</v>
      </c>
      <c r="AV25" s="386">
        <f t="shared" si="7"/>
        <v>0</v>
      </c>
      <c r="AW25" s="358">
        <f t="shared" si="8"/>
        <v>0</v>
      </c>
      <c r="AX25" s="356">
        <f t="shared" si="9"/>
        <v>8.7666666666666675</v>
      </c>
      <c r="AY25" s="387">
        <f t="shared" si="14"/>
        <v>0.58841940532081372</v>
      </c>
      <c r="AZ25" s="388">
        <f t="shared" si="15"/>
        <v>0.41158059467918623</v>
      </c>
      <c r="BA25" s="287">
        <v>1252684</v>
      </c>
      <c r="BB25" s="287">
        <f t="shared" si="12"/>
        <v>41686.65557404326</v>
      </c>
    </row>
    <row r="26" spans="1:54" ht="14.25" customHeight="1" thickBot="1" x14ac:dyDescent="0.3">
      <c r="A26" s="194" t="s">
        <v>766</v>
      </c>
      <c r="B26" s="195" t="s">
        <v>767</v>
      </c>
      <c r="C26" s="122" t="s">
        <v>109</v>
      </c>
      <c r="D26" s="123"/>
      <c r="E26" s="123"/>
      <c r="F26" s="123"/>
      <c r="G26" s="196" t="s">
        <v>609</v>
      </c>
      <c r="H26" s="196"/>
      <c r="I26" s="197"/>
      <c r="J26" s="197"/>
      <c r="K26" s="196" t="s">
        <v>290</v>
      </c>
      <c r="L26" s="212">
        <v>43.75</v>
      </c>
      <c r="M26" s="199">
        <v>18</v>
      </c>
      <c r="N26" s="199"/>
      <c r="O26" s="199"/>
      <c r="P26" s="199"/>
      <c r="Q26" s="200"/>
      <c r="R26" s="201">
        <v>2</v>
      </c>
      <c r="S26" s="202">
        <f t="shared" si="0"/>
        <v>20</v>
      </c>
      <c r="T26" s="199">
        <v>9.5</v>
      </c>
      <c r="U26" s="199">
        <f t="shared" si="16"/>
        <v>4</v>
      </c>
      <c r="V26" s="199">
        <v>4</v>
      </c>
      <c r="W26" s="204">
        <v>2.25</v>
      </c>
      <c r="X26" s="200"/>
      <c r="Y26" s="200"/>
      <c r="Z26" s="200"/>
      <c r="AA26" s="200"/>
      <c r="AB26" s="326">
        <v>2</v>
      </c>
      <c r="AC26" s="326"/>
      <c r="AD26" s="327">
        <v>2</v>
      </c>
      <c r="AE26" s="200"/>
      <c r="AF26" s="200"/>
      <c r="AG26" s="205"/>
      <c r="AH26" s="206">
        <f t="shared" si="1"/>
        <v>23.75</v>
      </c>
      <c r="AI26" s="213"/>
      <c r="AJ26" s="199"/>
      <c r="AK26" s="199"/>
      <c r="AL26" s="199"/>
      <c r="AM26" s="207"/>
      <c r="AN26" s="208">
        <f t="shared" si="2"/>
        <v>0</v>
      </c>
      <c r="AO26" s="214"/>
      <c r="AP26" s="214"/>
      <c r="AQ26" s="210">
        <f t="shared" si="3"/>
        <v>0</v>
      </c>
      <c r="AR26" s="211">
        <f t="shared" si="4"/>
        <v>43.75</v>
      </c>
      <c r="AS26" s="405">
        <f t="shared" si="5"/>
        <v>0</v>
      </c>
      <c r="AT26" s="355">
        <v>32.299999999999997</v>
      </c>
      <c r="AU26" s="356">
        <f t="shared" si="6"/>
        <v>14.666666666666666</v>
      </c>
      <c r="AV26" s="386">
        <f t="shared" si="7"/>
        <v>0</v>
      </c>
      <c r="AW26" s="358">
        <f t="shared" si="8"/>
        <v>0</v>
      </c>
      <c r="AX26" s="356">
        <f t="shared" si="9"/>
        <v>17.633333333333333</v>
      </c>
      <c r="AY26" s="387">
        <f t="shared" si="14"/>
        <v>0.45407636738906093</v>
      </c>
      <c r="AZ26" s="388">
        <f t="shared" si="15"/>
        <v>0.54592363261093912</v>
      </c>
      <c r="BA26" s="287">
        <v>1479844</v>
      </c>
      <c r="BB26" s="287">
        <f t="shared" si="12"/>
        <v>33825.005714285711</v>
      </c>
    </row>
    <row r="27" spans="1:54" ht="14.25" customHeight="1" thickBot="1" x14ac:dyDescent="0.3">
      <c r="A27" s="194" t="s">
        <v>768</v>
      </c>
      <c r="B27" s="195" t="s">
        <v>769</v>
      </c>
      <c r="C27" s="122" t="s">
        <v>295</v>
      </c>
      <c r="D27" s="123"/>
      <c r="E27" s="123"/>
      <c r="F27" s="123"/>
      <c r="G27" s="196" t="s">
        <v>609</v>
      </c>
      <c r="H27" s="196"/>
      <c r="I27" s="197"/>
      <c r="J27" s="197"/>
      <c r="K27" s="196" t="s">
        <v>318</v>
      </c>
      <c r="L27" s="212">
        <v>47.75</v>
      </c>
      <c r="M27" s="199">
        <v>20</v>
      </c>
      <c r="N27" s="199"/>
      <c r="O27" s="199"/>
      <c r="P27" s="199"/>
      <c r="Q27" s="200"/>
      <c r="R27" s="201">
        <v>2</v>
      </c>
      <c r="S27" s="202">
        <f t="shared" si="0"/>
        <v>22</v>
      </c>
      <c r="T27" s="199">
        <v>10.5</v>
      </c>
      <c r="U27" s="199">
        <f t="shared" si="16"/>
        <v>4</v>
      </c>
      <c r="V27" s="199">
        <v>4</v>
      </c>
      <c r="W27" s="204">
        <v>2.25</v>
      </c>
      <c r="X27" s="200"/>
      <c r="Y27" s="200"/>
      <c r="Z27" s="200"/>
      <c r="AA27" s="200"/>
      <c r="AB27" s="326">
        <v>1</v>
      </c>
      <c r="AC27" s="326"/>
      <c r="AD27" s="327"/>
      <c r="AE27" s="200"/>
      <c r="AF27" s="200">
        <v>4</v>
      </c>
      <c r="AG27" s="205" t="s">
        <v>770</v>
      </c>
      <c r="AH27" s="206">
        <f t="shared" si="1"/>
        <v>25.75</v>
      </c>
      <c r="AI27" s="213"/>
      <c r="AJ27" s="199"/>
      <c r="AK27" s="199"/>
      <c r="AL27" s="199"/>
      <c r="AM27" s="207"/>
      <c r="AN27" s="208">
        <f t="shared" si="2"/>
        <v>0</v>
      </c>
      <c r="AO27" s="214"/>
      <c r="AP27" s="214"/>
      <c r="AQ27" s="210">
        <f t="shared" si="3"/>
        <v>0</v>
      </c>
      <c r="AR27" s="211">
        <f t="shared" si="4"/>
        <v>47.75</v>
      </c>
      <c r="AS27" s="405">
        <f t="shared" si="5"/>
        <v>0</v>
      </c>
      <c r="AT27" s="355">
        <v>38.333333333333336</v>
      </c>
      <c r="AU27" s="356">
        <f t="shared" si="6"/>
        <v>15.333333333333334</v>
      </c>
      <c r="AV27" s="386">
        <f t="shared" si="7"/>
        <v>0</v>
      </c>
      <c r="AW27" s="358">
        <f t="shared" si="8"/>
        <v>0</v>
      </c>
      <c r="AX27" s="356">
        <f t="shared" si="9"/>
        <v>23</v>
      </c>
      <c r="AY27" s="387">
        <f t="shared" si="14"/>
        <v>0.39999999999999997</v>
      </c>
      <c r="AZ27" s="388">
        <f t="shared" si="15"/>
        <v>0.6</v>
      </c>
      <c r="BA27" s="287">
        <v>1517256</v>
      </c>
      <c r="BB27" s="287">
        <f t="shared" si="12"/>
        <v>31774.994764397907</v>
      </c>
    </row>
    <row r="28" spans="1:54" ht="14.25" customHeight="1" thickBot="1" x14ac:dyDescent="0.3">
      <c r="A28" s="194" t="s">
        <v>771</v>
      </c>
      <c r="B28" s="195" t="s">
        <v>772</v>
      </c>
      <c r="C28" s="122" t="s">
        <v>55</v>
      </c>
      <c r="D28" s="123"/>
      <c r="E28" s="123"/>
      <c r="F28" s="123"/>
      <c r="G28" s="196" t="s">
        <v>609</v>
      </c>
      <c r="H28" s="196" t="s">
        <v>609</v>
      </c>
      <c r="I28" s="197"/>
      <c r="J28" s="197"/>
      <c r="K28" s="196" t="s">
        <v>349</v>
      </c>
      <c r="L28" s="212">
        <v>47.25</v>
      </c>
      <c r="M28" s="199">
        <v>10</v>
      </c>
      <c r="N28" s="199"/>
      <c r="O28" s="199"/>
      <c r="P28" s="199"/>
      <c r="Q28" s="200"/>
      <c r="R28" s="201">
        <v>1</v>
      </c>
      <c r="S28" s="202">
        <f t="shared" si="0"/>
        <v>11</v>
      </c>
      <c r="T28" s="199">
        <f>IF($C28="",0,VLOOKUP($C28,[5]Hoja1!$C$11:$D$27,2,FALSE)*M28)+IF($D28="",0,VLOOKUP($D28,[5]Hoja1!$C$11:$D$27,2,FALSE)*N28)+IF($F28="",0,VLOOKUP($F28,[5]Hoja1!$C$11:$D$27,2,FALSE)*P28)+IF(R28="",0,R28*0.5)</f>
        <v>6.5</v>
      </c>
      <c r="U28" s="199">
        <f t="shared" si="16"/>
        <v>4</v>
      </c>
      <c r="V28" s="199">
        <v>4</v>
      </c>
      <c r="W28" s="204">
        <v>2.25</v>
      </c>
      <c r="X28" s="200"/>
      <c r="Y28" s="200"/>
      <c r="Z28" s="200"/>
      <c r="AA28" s="200"/>
      <c r="AB28" s="326">
        <v>2</v>
      </c>
      <c r="AC28" s="326">
        <v>1</v>
      </c>
      <c r="AD28" s="327">
        <v>0.5</v>
      </c>
      <c r="AE28" s="200"/>
      <c r="AF28" s="200"/>
      <c r="AG28" s="205"/>
      <c r="AH28" s="206">
        <f t="shared" si="1"/>
        <v>20.25</v>
      </c>
      <c r="AI28" s="213"/>
      <c r="AJ28" s="199">
        <v>12</v>
      </c>
      <c r="AK28" s="199"/>
      <c r="AL28" s="199">
        <v>4</v>
      </c>
      <c r="AM28" s="207" t="s">
        <v>773</v>
      </c>
      <c r="AN28" s="208">
        <f t="shared" si="2"/>
        <v>16</v>
      </c>
      <c r="AO28" s="214"/>
      <c r="AP28" s="214"/>
      <c r="AQ28" s="210">
        <f t="shared" si="3"/>
        <v>0</v>
      </c>
      <c r="AR28" s="211">
        <f t="shared" si="4"/>
        <v>47.25</v>
      </c>
      <c r="AS28" s="405">
        <f t="shared" si="5"/>
        <v>0</v>
      </c>
      <c r="AT28" s="355">
        <v>34.166666666666664</v>
      </c>
      <c r="AU28" s="356">
        <f t="shared" si="6"/>
        <v>8.6666666666666661</v>
      </c>
      <c r="AV28" s="386">
        <f t="shared" si="7"/>
        <v>10.666666666666666</v>
      </c>
      <c r="AW28" s="358">
        <f t="shared" si="8"/>
        <v>0</v>
      </c>
      <c r="AX28" s="356">
        <f t="shared" si="9"/>
        <v>14.833333333333334</v>
      </c>
      <c r="AY28" s="387">
        <f t="shared" si="14"/>
        <v>0.36879432624113473</v>
      </c>
      <c r="AZ28" s="388">
        <f t="shared" si="15"/>
        <v>0.63120567375886527</v>
      </c>
      <c r="BA28" s="287">
        <v>2386651</v>
      </c>
      <c r="BB28" s="287">
        <f t="shared" si="12"/>
        <v>50511.132275132273</v>
      </c>
    </row>
    <row r="29" spans="1:54" ht="14.25" customHeight="1" thickBot="1" x14ac:dyDescent="0.3">
      <c r="A29" s="194" t="s">
        <v>774</v>
      </c>
      <c r="B29" s="195" t="s">
        <v>775</v>
      </c>
      <c r="C29" s="122" t="s">
        <v>56</v>
      </c>
      <c r="D29" s="123" t="s">
        <v>295</v>
      </c>
      <c r="E29" s="123"/>
      <c r="F29" s="123"/>
      <c r="G29" s="196" t="s">
        <v>609</v>
      </c>
      <c r="H29" s="196" t="s">
        <v>609</v>
      </c>
      <c r="I29" s="197"/>
      <c r="J29" s="197"/>
      <c r="K29" s="196" t="s">
        <v>290</v>
      </c>
      <c r="L29" s="212">
        <v>42.4</v>
      </c>
      <c r="M29" s="199">
        <v>7</v>
      </c>
      <c r="N29" s="199">
        <v>8</v>
      </c>
      <c r="O29" s="199"/>
      <c r="P29" s="199"/>
      <c r="Q29" s="200"/>
      <c r="R29" s="201">
        <v>2</v>
      </c>
      <c r="S29" s="202">
        <f t="shared" si="0"/>
        <v>17</v>
      </c>
      <c r="T29" s="199">
        <f>(3.5+4)+0.5</f>
        <v>8</v>
      </c>
      <c r="U29" s="199">
        <f t="shared" si="16"/>
        <v>4</v>
      </c>
      <c r="V29" s="199">
        <v>4</v>
      </c>
      <c r="W29" s="204">
        <v>2.25</v>
      </c>
      <c r="X29" s="200"/>
      <c r="Y29" s="200"/>
      <c r="Z29" s="200"/>
      <c r="AA29" s="200"/>
      <c r="AB29" s="326">
        <v>1</v>
      </c>
      <c r="AC29" s="326"/>
      <c r="AD29" s="327"/>
      <c r="AE29" s="200"/>
      <c r="AF29" s="200"/>
      <c r="AG29" s="205"/>
      <c r="AH29" s="206">
        <f t="shared" si="1"/>
        <v>19.25</v>
      </c>
      <c r="AI29" s="213"/>
      <c r="AJ29" s="199">
        <v>9</v>
      </c>
      <c r="AK29" s="199"/>
      <c r="AL29" s="199"/>
      <c r="AM29" s="207"/>
      <c r="AN29" s="208">
        <f t="shared" si="2"/>
        <v>9</v>
      </c>
      <c r="AO29" s="214"/>
      <c r="AP29" s="214"/>
      <c r="AQ29" s="210">
        <f t="shared" si="3"/>
        <v>0</v>
      </c>
      <c r="AR29" s="211">
        <f t="shared" si="4"/>
        <v>45.25</v>
      </c>
      <c r="AS29" s="405">
        <f t="shared" si="5"/>
        <v>-2.8500000000000014</v>
      </c>
      <c r="AT29" s="355">
        <v>36.18333333333333</v>
      </c>
      <c r="AU29" s="356">
        <f t="shared" si="6"/>
        <v>12</v>
      </c>
      <c r="AV29" s="386">
        <f t="shared" si="7"/>
        <v>6</v>
      </c>
      <c r="AW29" s="358">
        <f t="shared" si="8"/>
        <v>0</v>
      </c>
      <c r="AX29" s="356">
        <f t="shared" si="9"/>
        <v>18.18333333333333</v>
      </c>
      <c r="AY29" s="387">
        <f t="shared" si="14"/>
        <v>0.39757040309221431</v>
      </c>
      <c r="AZ29" s="388">
        <f t="shared" si="15"/>
        <v>0.60242959690778575</v>
      </c>
      <c r="BA29" s="287">
        <v>1717104</v>
      </c>
      <c r="BB29" s="287">
        <f t="shared" si="12"/>
        <v>40497.735849056604</v>
      </c>
    </row>
    <row r="30" spans="1:54" ht="14.25" customHeight="1" thickBot="1" x14ac:dyDescent="0.3">
      <c r="A30" s="194" t="s">
        <v>776</v>
      </c>
      <c r="B30" s="195" t="s">
        <v>777</v>
      </c>
      <c r="C30" s="122" t="s">
        <v>627</v>
      </c>
      <c r="D30" s="123" t="s">
        <v>295</v>
      </c>
      <c r="E30" s="123"/>
      <c r="F30" s="123"/>
      <c r="G30" s="196"/>
      <c r="H30" s="196"/>
      <c r="I30" s="197"/>
      <c r="J30" s="197"/>
      <c r="K30" s="196" t="s">
        <v>349</v>
      </c>
      <c r="L30" s="212">
        <v>25</v>
      </c>
      <c r="M30" s="199">
        <v>12</v>
      </c>
      <c r="N30" s="199">
        <v>2</v>
      </c>
      <c r="O30" s="199"/>
      <c r="P30" s="199"/>
      <c r="Q30" s="200"/>
      <c r="R30" s="201" t="str">
        <f>IF(G30="x",1,"")</f>
        <v/>
      </c>
      <c r="S30" s="202">
        <f t="shared" si="0"/>
        <v>14</v>
      </c>
      <c r="T30" s="199">
        <f>IF($C30="",0,VLOOKUP($C30,[5]Hoja1!$C$11:$D$27,2,FALSE)*M30)+IF($D30="",0,VLOOKUP($D30,[5]Hoja1!$C$11:$D$27,2,FALSE)*N30)+IF($F30="",0,VLOOKUP($F30,[5]Hoja1!$C$11:$D$27,2,FALSE)*P30)+IF(R30="",0,R30*0.5)</f>
        <v>7</v>
      </c>
      <c r="U30" s="199" t="str">
        <f t="shared" si="16"/>
        <v/>
      </c>
      <c r="V30" s="199"/>
      <c r="W30" s="204">
        <v>2.25</v>
      </c>
      <c r="X30" s="200"/>
      <c r="Y30" s="200"/>
      <c r="Z30" s="200"/>
      <c r="AA30" s="200"/>
      <c r="AB30" s="326">
        <v>1</v>
      </c>
      <c r="AC30" s="326"/>
      <c r="AD30" s="327">
        <v>0.75</v>
      </c>
      <c r="AE30" s="200"/>
      <c r="AF30" s="200"/>
      <c r="AG30" s="205"/>
      <c r="AH30" s="206">
        <f t="shared" si="1"/>
        <v>11</v>
      </c>
      <c r="AI30" s="213"/>
      <c r="AJ30" s="199"/>
      <c r="AK30" s="199"/>
      <c r="AL30" s="199"/>
      <c r="AM30" s="207"/>
      <c r="AN30" s="208">
        <f t="shared" si="2"/>
        <v>0</v>
      </c>
      <c r="AO30" s="214"/>
      <c r="AP30" s="214"/>
      <c r="AQ30" s="210">
        <f t="shared" si="3"/>
        <v>0</v>
      </c>
      <c r="AR30" s="211">
        <f t="shared" si="4"/>
        <v>25</v>
      </c>
      <c r="AS30" s="405">
        <f t="shared" si="5"/>
        <v>0</v>
      </c>
      <c r="AT30" s="355">
        <v>22.233333333333334</v>
      </c>
      <c r="AU30" s="356">
        <f t="shared" si="6"/>
        <v>10</v>
      </c>
      <c r="AV30" s="386">
        <f t="shared" si="7"/>
        <v>0</v>
      </c>
      <c r="AW30" s="358">
        <f t="shared" si="8"/>
        <v>0</v>
      </c>
      <c r="AX30" s="356">
        <f t="shared" si="9"/>
        <v>12.233333333333334</v>
      </c>
      <c r="AY30" s="387">
        <f t="shared" si="14"/>
        <v>0.4497751124437781</v>
      </c>
      <c r="AZ30" s="388">
        <f t="shared" si="15"/>
        <v>0.5502248875562219</v>
      </c>
      <c r="BA30" s="287">
        <v>832813</v>
      </c>
      <c r="BB30" s="287">
        <f t="shared" si="12"/>
        <v>33312.519999999997</v>
      </c>
    </row>
    <row r="31" spans="1:54" ht="14.25" customHeight="1" thickBot="1" x14ac:dyDescent="0.3">
      <c r="A31" s="194" t="s">
        <v>778</v>
      </c>
      <c r="B31" s="195" t="s">
        <v>779</v>
      </c>
      <c r="C31" s="122" t="s">
        <v>55</v>
      </c>
      <c r="D31" s="123"/>
      <c r="E31" s="123"/>
      <c r="F31" s="123"/>
      <c r="G31" s="196" t="s">
        <v>609</v>
      </c>
      <c r="H31" s="196"/>
      <c r="I31" s="197" t="s">
        <v>57</v>
      </c>
      <c r="J31" s="196" t="s">
        <v>780</v>
      </c>
      <c r="K31" s="196" t="s">
        <v>290</v>
      </c>
      <c r="L31" s="212">
        <v>42.25</v>
      </c>
      <c r="M31" s="199">
        <v>12</v>
      </c>
      <c r="N31" s="199"/>
      <c r="O31" s="199"/>
      <c r="P31" s="199"/>
      <c r="Q31" s="200"/>
      <c r="R31" s="201">
        <v>2</v>
      </c>
      <c r="S31" s="202">
        <f t="shared" si="0"/>
        <v>14</v>
      </c>
      <c r="T31" s="199">
        <v>7.7</v>
      </c>
      <c r="U31" s="199">
        <f t="shared" si="16"/>
        <v>4</v>
      </c>
      <c r="V31" s="199">
        <v>4</v>
      </c>
      <c r="W31" s="204">
        <v>2.25</v>
      </c>
      <c r="X31" s="200"/>
      <c r="Y31" s="200"/>
      <c r="Z31" s="200"/>
      <c r="AA31" s="200">
        <v>7</v>
      </c>
      <c r="AB31" s="326">
        <v>1</v>
      </c>
      <c r="AC31" s="326">
        <v>1</v>
      </c>
      <c r="AD31" s="327">
        <v>1.3</v>
      </c>
      <c r="AE31" s="200"/>
      <c r="AF31" s="200"/>
      <c r="AG31" s="205"/>
      <c r="AH31" s="206">
        <f t="shared" si="1"/>
        <v>28.25</v>
      </c>
      <c r="AI31" s="213"/>
      <c r="AJ31" s="199"/>
      <c r="AK31" s="199"/>
      <c r="AL31" s="199"/>
      <c r="AM31" s="207"/>
      <c r="AN31" s="208">
        <f t="shared" si="2"/>
        <v>0</v>
      </c>
      <c r="AO31" s="214"/>
      <c r="AP31" s="214"/>
      <c r="AQ31" s="210">
        <f t="shared" si="3"/>
        <v>0</v>
      </c>
      <c r="AR31" s="211">
        <f t="shared" si="4"/>
        <v>42.25</v>
      </c>
      <c r="AS31" s="405">
        <f t="shared" si="5"/>
        <v>0</v>
      </c>
      <c r="AT31" s="355">
        <v>30.2</v>
      </c>
      <c r="AU31" s="356">
        <f t="shared" si="6"/>
        <v>10</v>
      </c>
      <c r="AV31" s="386">
        <f t="shared" si="7"/>
        <v>0</v>
      </c>
      <c r="AW31" s="358">
        <f t="shared" si="8"/>
        <v>0</v>
      </c>
      <c r="AX31" s="356">
        <f t="shared" si="9"/>
        <v>20.2</v>
      </c>
      <c r="AY31" s="387">
        <f t="shared" si="14"/>
        <v>0.33112582781456956</v>
      </c>
      <c r="AZ31" s="388">
        <f t="shared" si="15"/>
        <v>0.66887417218543044</v>
      </c>
      <c r="BA31" s="287">
        <v>2129483</v>
      </c>
      <c r="BB31" s="287">
        <f t="shared" si="12"/>
        <v>50401.964497041423</v>
      </c>
    </row>
    <row r="32" spans="1:54" ht="14.25" customHeight="1" thickBot="1" x14ac:dyDescent="0.3">
      <c r="A32" s="194" t="s">
        <v>781</v>
      </c>
      <c r="B32" s="195" t="s">
        <v>782</v>
      </c>
      <c r="C32" s="122" t="s">
        <v>109</v>
      </c>
      <c r="D32" s="123"/>
      <c r="E32" s="123"/>
      <c r="F32" s="123"/>
      <c r="G32" s="196"/>
      <c r="H32" s="196"/>
      <c r="I32" s="197"/>
      <c r="J32" s="197"/>
      <c r="K32" s="196" t="s">
        <v>318</v>
      </c>
      <c r="L32" s="212">
        <v>41.75</v>
      </c>
      <c r="M32" s="199">
        <v>25</v>
      </c>
      <c r="N32" s="199"/>
      <c r="O32" s="199"/>
      <c r="P32" s="199"/>
      <c r="Q32" s="200"/>
      <c r="R32" s="201" t="str">
        <f>IF(G32="x",1,"")</f>
        <v/>
      </c>
      <c r="S32" s="202">
        <f t="shared" si="0"/>
        <v>25</v>
      </c>
      <c r="T32" s="216">
        <f>IF($C32="",0,VLOOKUP($C32,[5]Hoja1!$C$11:$D$27,2,FALSE)*M32)+IF($D32="",0,VLOOKUP($D32,[5]Hoja1!$C$11:$D$27,2,FALSE)*N32)+IF($F32="",0,VLOOKUP($F32,[5]Hoja1!$C$11:$D$27,2,FALSE)*P32)+IF(R32="",0,R32*0.5)</f>
        <v>12.5</v>
      </c>
      <c r="U32" s="199" t="str">
        <f t="shared" si="16"/>
        <v/>
      </c>
      <c r="V32" s="199"/>
      <c r="W32" s="204">
        <v>2.25</v>
      </c>
      <c r="X32" s="200"/>
      <c r="Y32" s="200"/>
      <c r="Z32" s="200"/>
      <c r="AA32" s="200"/>
      <c r="AB32" s="326"/>
      <c r="AC32" s="326"/>
      <c r="AD32" s="327">
        <v>2</v>
      </c>
      <c r="AE32" s="200"/>
      <c r="AF32" s="200"/>
      <c r="AG32" s="205"/>
      <c r="AH32" s="206">
        <f t="shared" si="1"/>
        <v>16.75</v>
      </c>
      <c r="AI32" s="213"/>
      <c r="AJ32" s="199"/>
      <c r="AK32" s="199"/>
      <c r="AL32" s="199"/>
      <c r="AM32" s="207"/>
      <c r="AN32" s="208">
        <f t="shared" si="2"/>
        <v>0</v>
      </c>
      <c r="AO32" s="214"/>
      <c r="AP32" s="214"/>
      <c r="AQ32" s="210">
        <f t="shared" si="3"/>
        <v>0</v>
      </c>
      <c r="AR32" s="211">
        <f t="shared" si="4"/>
        <v>41.75</v>
      </c>
      <c r="AS32" s="405">
        <f t="shared" si="5"/>
        <v>0</v>
      </c>
      <c r="AT32" s="355">
        <v>28.416666666666668</v>
      </c>
      <c r="AU32" s="356">
        <f t="shared" si="6"/>
        <v>16.666666666666668</v>
      </c>
      <c r="AV32" s="386">
        <f t="shared" si="7"/>
        <v>0</v>
      </c>
      <c r="AW32" s="358">
        <f t="shared" si="8"/>
        <v>0</v>
      </c>
      <c r="AX32" s="356">
        <f t="shared" si="9"/>
        <v>11.75</v>
      </c>
      <c r="AY32" s="387">
        <f t="shared" si="14"/>
        <v>0.5865102639296188</v>
      </c>
      <c r="AZ32" s="388">
        <f t="shared" si="15"/>
        <v>0.4134897360703812</v>
      </c>
      <c r="BA32" s="287">
        <v>1668956</v>
      </c>
      <c r="BB32" s="287">
        <f t="shared" si="12"/>
        <v>39974.99401197605</v>
      </c>
    </row>
    <row r="33" spans="1:54" ht="14.25" customHeight="1" thickBot="1" x14ac:dyDescent="0.3">
      <c r="A33" s="194" t="s">
        <v>783</v>
      </c>
      <c r="B33" s="195" t="s">
        <v>784</v>
      </c>
      <c r="C33" s="122" t="s">
        <v>295</v>
      </c>
      <c r="D33" s="123"/>
      <c r="E33" s="123"/>
      <c r="F33" s="123"/>
      <c r="G33" s="196"/>
      <c r="H33" s="196" t="s">
        <v>57</v>
      </c>
      <c r="I33" s="197" t="s">
        <v>57</v>
      </c>
      <c r="J33" s="217" t="s">
        <v>785</v>
      </c>
      <c r="K33" s="196" t="s">
        <v>349</v>
      </c>
      <c r="L33" s="212">
        <v>43.25</v>
      </c>
      <c r="M33" s="199">
        <v>8</v>
      </c>
      <c r="N33" s="199"/>
      <c r="O33" s="199"/>
      <c r="P33" s="199"/>
      <c r="Q33" s="200"/>
      <c r="R33" s="201" t="str">
        <f>IF(G33="x",1,"")</f>
        <v/>
      </c>
      <c r="S33" s="202">
        <f t="shared" si="0"/>
        <v>8</v>
      </c>
      <c r="T33" s="216">
        <f>IF($C33="",0,VLOOKUP($C33,[5]Hoja1!$C$11:$D$27,2,FALSE)*M33)+IF($D33="",0,VLOOKUP($D33,[5]Hoja1!$C$11:$D$27,2,FALSE)*N33)+IF($F33="",0,VLOOKUP($F33,[5]Hoja1!$C$11:$D$27,2,FALSE)*P33)+IF(R33="",0,R33*0.5)</f>
        <v>4</v>
      </c>
      <c r="U33" s="199" t="str">
        <f t="shared" si="16"/>
        <v/>
      </c>
      <c r="V33" s="199"/>
      <c r="W33" s="204">
        <v>2.25</v>
      </c>
      <c r="X33" s="200"/>
      <c r="Y33" s="200"/>
      <c r="Z33" s="200"/>
      <c r="AA33" s="200"/>
      <c r="AB33" s="326">
        <v>1</v>
      </c>
      <c r="AC33" s="326"/>
      <c r="AD33" s="327"/>
      <c r="AE33" s="200"/>
      <c r="AF33" s="200"/>
      <c r="AG33" s="205"/>
      <c r="AH33" s="206">
        <f t="shared" si="1"/>
        <v>7.25</v>
      </c>
      <c r="AI33" s="213">
        <v>22</v>
      </c>
      <c r="AJ33" s="199">
        <v>6</v>
      </c>
      <c r="AK33" s="199"/>
      <c r="AL33" s="199"/>
      <c r="AM33" s="207"/>
      <c r="AN33" s="208">
        <f t="shared" si="2"/>
        <v>28</v>
      </c>
      <c r="AO33" s="214"/>
      <c r="AP33" s="214"/>
      <c r="AQ33" s="210">
        <f t="shared" si="3"/>
        <v>0</v>
      </c>
      <c r="AR33" s="211">
        <f t="shared" si="4"/>
        <v>43.25</v>
      </c>
      <c r="AS33" s="405">
        <f t="shared" si="5"/>
        <v>0</v>
      </c>
      <c r="AT33" s="355">
        <v>31.133333333333333</v>
      </c>
      <c r="AU33" s="356">
        <f t="shared" si="6"/>
        <v>6</v>
      </c>
      <c r="AV33" s="386">
        <f t="shared" si="7"/>
        <v>18.666666666666668</v>
      </c>
      <c r="AW33" s="358">
        <f t="shared" si="8"/>
        <v>0</v>
      </c>
      <c r="AX33" s="356">
        <f t="shared" si="9"/>
        <v>6.466666666666665</v>
      </c>
      <c r="AY33" s="387">
        <f t="shared" si="14"/>
        <v>0.48128342245989314</v>
      </c>
      <c r="AZ33" s="388">
        <f t="shared" si="15"/>
        <v>0.51871657754010692</v>
      </c>
      <c r="BA33" s="287">
        <v>2311232</v>
      </c>
      <c r="BB33" s="287">
        <f t="shared" si="12"/>
        <v>53438.890173410407</v>
      </c>
    </row>
    <row r="34" spans="1:54" ht="14.25" customHeight="1" thickBot="1" x14ac:dyDescent="0.3">
      <c r="A34" s="194" t="s">
        <v>786</v>
      </c>
      <c r="B34" s="195" t="s">
        <v>787</v>
      </c>
      <c r="C34" s="122" t="s">
        <v>114</v>
      </c>
      <c r="D34" s="123"/>
      <c r="E34" s="123"/>
      <c r="F34" s="123"/>
      <c r="G34" s="196"/>
      <c r="H34" s="196"/>
      <c r="I34" s="197" t="s">
        <v>57</v>
      </c>
      <c r="J34" s="217" t="s">
        <v>785</v>
      </c>
      <c r="K34" s="196"/>
      <c r="L34" s="212">
        <v>45</v>
      </c>
      <c r="M34" s="199"/>
      <c r="N34" s="199"/>
      <c r="O34" s="199"/>
      <c r="P34" s="199"/>
      <c r="Q34" s="200">
        <v>8</v>
      </c>
      <c r="R34" s="201" t="str">
        <f>IF(G34="x",1,"")</f>
        <v/>
      </c>
      <c r="S34" s="202">
        <f t="shared" si="0"/>
        <v>8</v>
      </c>
      <c r="T34" s="216">
        <f>IF($C34="",0,VLOOKUP($C34,[5]Hoja1!$C$11:$D$27,2,FALSE)*M34)+IF($D34="",0,VLOOKUP($D34,[5]Hoja1!$C$11:$D$27,2,FALSE)*N34)+IF($F34="",0,VLOOKUP($F34,[5]Hoja1!$C$11:$D$27,2,FALSE)*P34)+IF(R34="",0,R34*0.5)</f>
        <v>0</v>
      </c>
      <c r="U34" s="199" t="str">
        <f t="shared" si="16"/>
        <v/>
      </c>
      <c r="V34" s="199"/>
      <c r="W34" s="204">
        <v>2.25</v>
      </c>
      <c r="X34" s="200"/>
      <c r="Y34" s="200"/>
      <c r="Z34" s="200"/>
      <c r="AA34" s="200"/>
      <c r="AB34" s="326"/>
      <c r="AC34" s="326"/>
      <c r="AD34" s="327"/>
      <c r="AE34" s="200"/>
      <c r="AF34" s="200"/>
      <c r="AG34" s="205"/>
      <c r="AH34" s="206">
        <f t="shared" si="1"/>
        <v>2.25</v>
      </c>
      <c r="AI34" s="213">
        <v>34.75</v>
      </c>
      <c r="AJ34" s="199"/>
      <c r="AK34" s="199"/>
      <c r="AL34" s="199"/>
      <c r="AM34" s="207"/>
      <c r="AN34" s="208">
        <f t="shared" si="2"/>
        <v>34.75</v>
      </c>
      <c r="AO34" s="214"/>
      <c r="AP34" s="214"/>
      <c r="AQ34" s="210">
        <f t="shared" si="3"/>
        <v>0</v>
      </c>
      <c r="AR34" s="211">
        <f t="shared" si="4"/>
        <v>45</v>
      </c>
      <c r="AS34" s="405">
        <f t="shared" si="5"/>
        <v>0</v>
      </c>
      <c r="AT34" s="355">
        <v>29</v>
      </c>
      <c r="AU34" s="356">
        <f t="shared" si="6"/>
        <v>5.333333333333333</v>
      </c>
      <c r="AV34" s="386">
        <f t="shared" si="7"/>
        <v>23.166666666666668</v>
      </c>
      <c r="AW34" s="358">
        <f t="shared" si="8"/>
        <v>0</v>
      </c>
      <c r="AX34" s="356">
        <f t="shared" si="9"/>
        <v>0.5</v>
      </c>
      <c r="AY34" s="415" t="s">
        <v>1200</v>
      </c>
      <c r="AZ34" s="410"/>
      <c r="BA34" s="287">
        <v>1918996</v>
      </c>
      <c r="BB34" s="287">
        <f t="shared" ref="BB34:BB94" si="17">+BA34/L34</f>
        <v>42644.355555555558</v>
      </c>
    </row>
    <row r="35" spans="1:54" ht="14.25" customHeight="1" thickBot="1" x14ac:dyDescent="0.3">
      <c r="A35" s="194" t="s">
        <v>788</v>
      </c>
      <c r="B35" s="195" t="s">
        <v>789</v>
      </c>
      <c r="C35" s="122" t="s">
        <v>126</v>
      </c>
      <c r="D35" s="123"/>
      <c r="E35" s="123"/>
      <c r="F35" s="123"/>
      <c r="G35" s="196" t="s">
        <v>609</v>
      </c>
      <c r="H35" s="196"/>
      <c r="I35" s="197"/>
      <c r="J35" s="197"/>
      <c r="K35" s="196" t="s">
        <v>309</v>
      </c>
      <c r="L35" s="212">
        <v>36.5</v>
      </c>
      <c r="M35" s="199">
        <v>17.5</v>
      </c>
      <c r="N35" s="199"/>
      <c r="O35" s="199"/>
      <c r="P35" s="199"/>
      <c r="Q35" s="200"/>
      <c r="R35" s="201">
        <v>2</v>
      </c>
      <c r="S35" s="202">
        <f t="shared" si="0"/>
        <v>19.5</v>
      </c>
      <c r="T35" s="199">
        <v>5.8</v>
      </c>
      <c r="U35" s="199">
        <f t="shared" si="16"/>
        <v>4</v>
      </c>
      <c r="V35" s="199">
        <v>4</v>
      </c>
      <c r="W35" s="204">
        <v>2.25</v>
      </c>
      <c r="X35" s="200"/>
      <c r="Y35" s="200"/>
      <c r="Z35" s="200"/>
      <c r="AA35" s="200"/>
      <c r="AB35" s="326">
        <v>1</v>
      </c>
      <c r="AC35" s="326"/>
      <c r="AD35" s="327"/>
      <c r="AE35" s="200"/>
      <c r="AF35" s="200"/>
      <c r="AG35" s="205"/>
      <c r="AH35" s="206">
        <f t="shared" si="1"/>
        <v>17.05</v>
      </c>
      <c r="AI35" s="213"/>
      <c r="AJ35" s="199"/>
      <c r="AK35" s="199"/>
      <c r="AL35" s="199"/>
      <c r="AM35" s="207"/>
      <c r="AN35" s="208">
        <f t="shared" si="2"/>
        <v>0</v>
      </c>
      <c r="AO35" s="214"/>
      <c r="AP35" s="214"/>
      <c r="AQ35" s="210">
        <f t="shared" si="3"/>
        <v>0</v>
      </c>
      <c r="AR35" s="211">
        <f t="shared" si="4"/>
        <v>36.549999999999997</v>
      </c>
      <c r="AS35" s="405">
        <f t="shared" si="5"/>
        <v>-4.9999999999997158E-2</v>
      </c>
      <c r="AT35" s="355">
        <v>30.283333333333335</v>
      </c>
      <c r="AU35" s="356">
        <f t="shared" si="6"/>
        <v>13.666666666666666</v>
      </c>
      <c r="AV35" s="386">
        <f t="shared" si="7"/>
        <v>0</v>
      </c>
      <c r="AW35" s="358">
        <f t="shared" si="8"/>
        <v>0</v>
      </c>
      <c r="AX35" s="356">
        <f t="shared" si="9"/>
        <v>16.616666666666667</v>
      </c>
      <c r="AY35" s="387">
        <f t="shared" ref="AY35:AY66" si="18">+AU35/(AU35+AX35)</f>
        <v>0.45129334067143645</v>
      </c>
      <c r="AZ35" s="388">
        <f t="shared" ref="AZ35:AZ66" si="19">+AX35/(AU35+AX35)</f>
        <v>0.54870665932856366</v>
      </c>
      <c r="BA35" s="287">
        <v>1537500</v>
      </c>
      <c r="BB35" s="287">
        <f t="shared" si="17"/>
        <v>42123.28767123288</v>
      </c>
    </row>
    <row r="36" spans="1:54" ht="14.25" customHeight="1" thickBot="1" x14ac:dyDescent="0.3">
      <c r="A36" s="194" t="s">
        <v>790</v>
      </c>
      <c r="B36" s="195" t="s">
        <v>791</v>
      </c>
      <c r="C36" s="122" t="s">
        <v>109</v>
      </c>
      <c r="D36" s="123"/>
      <c r="E36" s="123"/>
      <c r="F36" s="123"/>
      <c r="G36" s="196" t="s">
        <v>609</v>
      </c>
      <c r="H36" s="196"/>
      <c r="I36" s="197"/>
      <c r="J36" s="197"/>
      <c r="K36" s="196" t="s">
        <v>290</v>
      </c>
      <c r="L36" s="212">
        <v>43</v>
      </c>
      <c r="M36" s="199">
        <v>18</v>
      </c>
      <c r="N36" s="199"/>
      <c r="O36" s="199"/>
      <c r="P36" s="199"/>
      <c r="Q36" s="200"/>
      <c r="R36" s="201">
        <v>2</v>
      </c>
      <c r="S36" s="202">
        <f t="shared" ref="S36:S67" si="20">SUM(M36:R36)</f>
        <v>20</v>
      </c>
      <c r="T36" s="199">
        <v>9.5</v>
      </c>
      <c r="U36" s="199">
        <f t="shared" si="16"/>
        <v>4</v>
      </c>
      <c r="V36" s="199">
        <v>4</v>
      </c>
      <c r="W36" s="204">
        <v>2.25</v>
      </c>
      <c r="X36" s="200"/>
      <c r="Y36" s="200"/>
      <c r="Z36" s="200"/>
      <c r="AA36" s="200"/>
      <c r="AB36" s="326">
        <v>2</v>
      </c>
      <c r="AC36" s="326"/>
      <c r="AD36" s="327">
        <v>1.25</v>
      </c>
      <c r="AE36" s="200"/>
      <c r="AF36" s="200"/>
      <c r="AG36" s="205"/>
      <c r="AH36" s="206">
        <f t="shared" ref="AH36:AH67" si="21">SUM(T36:AF36)</f>
        <v>23</v>
      </c>
      <c r="AI36" s="213"/>
      <c r="AJ36" s="199"/>
      <c r="AK36" s="199"/>
      <c r="AL36" s="199"/>
      <c r="AM36" s="207"/>
      <c r="AN36" s="208">
        <f t="shared" ref="AN36:AN67" si="22">SUM(AI36:AL36)</f>
        <v>0</v>
      </c>
      <c r="AO36" s="214"/>
      <c r="AP36" s="214"/>
      <c r="AQ36" s="210">
        <f t="shared" ref="AQ36:AQ67" si="23">SUM(AO36:AO36)</f>
        <v>0</v>
      </c>
      <c r="AR36" s="211">
        <f t="shared" ref="AR36:AR67" si="24">+S36+AH36+AN36+AQ36</f>
        <v>43</v>
      </c>
      <c r="AS36" s="405">
        <f t="shared" ref="AS36:AS67" si="25">+L36-AR36</f>
        <v>0</v>
      </c>
      <c r="AT36" s="355">
        <v>31.3</v>
      </c>
      <c r="AU36" s="356">
        <f t="shared" ref="AU36:AU67" si="26">+(S36+AB36)*40/60</f>
        <v>14.666666666666666</v>
      </c>
      <c r="AV36" s="386">
        <f t="shared" ref="AV36:AV67" si="27">+AN36*40/60</f>
        <v>0</v>
      </c>
      <c r="AW36" s="358">
        <f t="shared" ref="AW36:AW67" si="28">+AQ36*0.666666666666667</f>
        <v>0</v>
      </c>
      <c r="AX36" s="356">
        <f t="shared" ref="AX36:AX67" si="29">+AT36-AU36-AV36-AW36</f>
        <v>16.633333333333333</v>
      </c>
      <c r="AY36" s="387">
        <f t="shared" si="18"/>
        <v>0.46858359957401491</v>
      </c>
      <c r="AZ36" s="388">
        <f t="shared" si="19"/>
        <v>0.53141640042598515</v>
      </c>
      <c r="BA36" s="287">
        <v>1711960</v>
      </c>
      <c r="BB36" s="287">
        <f t="shared" si="17"/>
        <v>39813.023255813954</v>
      </c>
    </row>
    <row r="37" spans="1:54" ht="14.25" customHeight="1" thickBot="1" x14ac:dyDescent="0.3">
      <c r="A37" s="194" t="s">
        <v>792</v>
      </c>
      <c r="B37" s="195" t="s">
        <v>793</v>
      </c>
      <c r="C37" s="122" t="s">
        <v>109</v>
      </c>
      <c r="D37" s="123"/>
      <c r="E37" s="123"/>
      <c r="F37" s="123"/>
      <c r="G37" s="196" t="s">
        <v>609</v>
      </c>
      <c r="H37" s="196"/>
      <c r="I37" s="197"/>
      <c r="J37" s="197"/>
      <c r="K37" s="196" t="s">
        <v>349</v>
      </c>
      <c r="L37" s="212">
        <v>45.75</v>
      </c>
      <c r="M37" s="199">
        <v>20</v>
      </c>
      <c r="N37" s="199"/>
      <c r="O37" s="199"/>
      <c r="P37" s="199"/>
      <c r="Q37" s="200"/>
      <c r="R37" s="201">
        <v>1</v>
      </c>
      <c r="S37" s="202">
        <f t="shared" si="20"/>
        <v>21</v>
      </c>
      <c r="T37" s="199">
        <f>IF($C37="",0,VLOOKUP($C37,[5]Hoja1!$C$11:$D$27,2,FALSE)*M37)+IF($D37="",0,VLOOKUP($D37,[5]Hoja1!$C$11:$D$27,2,FALSE)*N37)+IF($F37="",0,VLOOKUP($F37,[5]Hoja1!$C$11:$D$27,2,FALSE)*P37)+IF(R37="",0,R37*0.5)</f>
        <v>10.5</v>
      </c>
      <c r="U37" s="199">
        <f t="shared" si="16"/>
        <v>4</v>
      </c>
      <c r="V37" s="199">
        <v>4</v>
      </c>
      <c r="W37" s="204">
        <v>2.25</v>
      </c>
      <c r="X37" s="200"/>
      <c r="Y37" s="200"/>
      <c r="Z37" s="200"/>
      <c r="AA37" s="200"/>
      <c r="AB37" s="326">
        <v>3</v>
      </c>
      <c r="AC37" s="326">
        <v>1</v>
      </c>
      <c r="AD37" s="327"/>
      <c r="AE37" s="200"/>
      <c r="AF37" s="200"/>
      <c r="AG37" s="205"/>
      <c r="AH37" s="206">
        <f t="shared" si="21"/>
        <v>24.75</v>
      </c>
      <c r="AI37" s="213"/>
      <c r="AJ37" s="199"/>
      <c r="AK37" s="199"/>
      <c r="AL37" s="199"/>
      <c r="AM37" s="207"/>
      <c r="AN37" s="208">
        <f t="shared" si="22"/>
        <v>0</v>
      </c>
      <c r="AO37" s="214"/>
      <c r="AP37" s="214"/>
      <c r="AQ37" s="210">
        <f t="shared" si="23"/>
        <v>0</v>
      </c>
      <c r="AR37" s="211">
        <f t="shared" si="24"/>
        <v>45.75</v>
      </c>
      <c r="AS37" s="405">
        <f t="shared" si="25"/>
        <v>0</v>
      </c>
      <c r="AT37" s="355">
        <v>33.4</v>
      </c>
      <c r="AU37" s="356">
        <f t="shared" si="26"/>
        <v>16</v>
      </c>
      <c r="AV37" s="386">
        <f t="shared" si="27"/>
        <v>0</v>
      </c>
      <c r="AW37" s="358">
        <f t="shared" si="28"/>
        <v>0</v>
      </c>
      <c r="AX37" s="356">
        <f t="shared" si="29"/>
        <v>17.399999999999999</v>
      </c>
      <c r="AY37" s="387">
        <f t="shared" si="18"/>
        <v>0.47904191616766467</v>
      </c>
      <c r="AZ37" s="388">
        <f t="shared" si="19"/>
        <v>0.52095808383233533</v>
      </c>
      <c r="BA37" s="287">
        <v>2134364</v>
      </c>
      <c r="BB37" s="287">
        <f t="shared" si="17"/>
        <v>46652.765027322406</v>
      </c>
    </row>
    <row r="38" spans="1:54" ht="14.25" customHeight="1" thickBot="1" x14ac:dyDescent="0.3">
      <c r="A38" s="194" t="s">
        <v>794</v>
      </c>
      <c r="B38" s="195" t="s">
        <v>795</v>
      </c>
      <c r="C38" s="122" t="s">
        <v>74</v>
      </c>
      <c r="D38" s="123"/>
      <c r="E38" s="123"/>
      <c r="F38" s="123"/>
      <c r="G38" s="196" t="s">
        <v>609</v>
      </c>
      <c r="H38" s="196"/>
      <c r="I38" s="197" t="s">
        <v>57</v>
      </c>
      <c r="J38" s="217" t="s">
        <v>785</v>
      </c>
      <c r="K38" s="196" t="s">
        <v>349</v>
      </c>
      <c r="L38" s="212">
        <v>56.75</v>
      </c>
      <c r="M38" s="199">
        <v>10</v>
      </c>
      <c r="N38" s="199"/>
      <c r="O38" s="199"/>
      <c r="P38" s="199"/>
      <c r="Q38" s="200"/>
      <c r="R38" s="201">
        <v>2</v>
      </c>
      <c r="S38" s="202">
        <f t="shared" si="20"/>
        <v>12</v>
      </c>
      <c r="T38" s="199">
        <v>5.5</v>
      </c>
      <c r="U38" s="199">
        <f t="shared" si="16"/>
        <v>4</v>
      </c>
      <c r="V38" s="199">
        <v>4</v>
      </c>
      <c r="W38" s="204">
        <v>2.25</v>
      </c>
      <c r="X38" s="200"/>
      <c r="Y38" s="200"/>
      <c r="Z38" s="200"/>
      <c r="AA38" s="200"/>
      <c r="AB38" s="326">
        <v>1</v>
      </c>
      <c r="AC38" s="326"/>
      <c r="AD38" s="327"/>
      <c r="AE38" s="200"/>
      <c r="AF38" s="200">
        <v>3</v>
      </c>
      <c r="AG38" s="205" t="s">
        <v>796</v>
      </c>
      <c r="AH38" s="206">
        <f t="shared" si="21"/>
        <v>19.75</v>
      </c>
      <c r="AI38" s="213">
        <v>22</v>
      </c>
      <c r="AJ38" s="199">
        <v>3</v>
      </c>
      <c r="AK38" s="199"/>
      <c r="AL38" s="199"/>
      <c r="AM38" s="207"/>
      <c r="AN38" s="208">
        <f t="shared" si="22"/>
        <v>25</v>
      </c>
      <c r="AO38" s="214"/>
      <c r="AP38" s="214"/>
      <c r="AQ38" s="210">
        <f t="shared" si="23"/>
        <v>0</v>
      </c>
      <c r="AR38" s="211">
        <f t="shared" si="24"/>
        <v>56.75</v>
      </c>
      <c r="AS38" s="405">
        <f t="shared" si="25"/>
        <v>0</v>
      </c>
      <c r="AT38" s="355">
        <v>40.166666666666664</v>
      </c>
      <c r="AU38" s="356">
        <f t="shared" si="26"/>
        <v>8.6666666666666661</v>
      </c>
      <c r="AV38" s="386">
        <f t="shared" si="27"/>
        <v>16.666666666666668</v>
      </c>
      <c r="AW38" s="358">
        <f t="shared" si="28"/>
        <v>0</v>
      </c>
      <c r="AX38" s="356">
        <f t="shared" si="29"/>
        <v>14.833333333333332</v>
      </c>
      <c r="AY38" s="387">
        <f t="shared" si="18"/>
        <v>0.36879432624113473</v>
      </c>
      <c r="AZ38" s="388">
        <f t="shared" si="19"/>
        <v>0.63120567375886516</v>
      </c>
      <c r="BA38" s="287">
        <v>2532204</v>
      </c>
      <c r="BB38" s="287">
        <f t="shared" si="17"/>
        <v>44620.334801762117</v>
      </c>
    </row>
    <row r="39" spans="1:54" ht="14.25" customHeight="1" thickBot="1" x14ac:dyDescent="0.3">
      <c r="A39" s="194" t="s">
        <v>830</v>
      </c>
      <c r="B39" s="195" t="s">
        <v>831</v>
      </c>
      <c r="C39" s="122" t="s">
        <v>114</v>
      </c>
      <c r="D39" s="123" t="s">
        <v>54</v>
      </c>
      <c r="E39" s="123"/>
      <c r="F39" s="123"/>
      <c r="G39" s="196" t="s">
        <v>609</v>
      </c>
      <c r="H39" s="196"/>
      <c r="I39" s="197"/>
      <c r="J39" s="197"/>
      <c r="K39" s="196" t="s">
        <v>290</v>
      </c>
      <c r="L39" s="212">
        <v>49</v>
      </c>
      <c r="M39" s="199">
        <v>15</v>
      </c>
      <c r="N39" s="199">
        <v>4</v>
      </c>
      <c r="O39" s="199"/>
      <c r="P39" s="199"/>
      <c r="Q39" s="200">
        <v>8</v>
      </c>
      <c r="R39" s="201">
        <v>1</v>
      </c>
      <c r="S39" s="202">
        <f t="shared" si="20"/>
        <v>28</v>
      </c>
      <c r="T39" s="199">
        <f>IF($C39="",0,VLOOKUP($C39,[5]Hoja1!$C$11:$D$27,2,FALSE)*M39)+IF($D39="",0,VLOOKUP($D39,[5]Hoja1!$C$11:$D$27,2,FALSE)*N39)+IF($F39="",0,VLOOKUP($F39,[5]Hoja1!$C$11:$D$27,2,FALSE)*P39)+IF(R39="",0,R39*0.5)</f>
        <v>10</v>
      </c>
      <c r="U39" s="199">
        <v>5</v>
      </c>
      <c r="V39" s="199"/>
      <c r="W39" s="204">
        <v>2.25</v>
      </c>
      <c r="X39" s="200"/>
      <c r="Y39" s="200"/>
      <c r="Z39" s="200"/>
      <c r="AA39" s="200"/>
      <c r="AB39" s="326">
        <v>3</v>
      </c>
      <c r="AC39" s="326">
        <v>0.75</v>
      </c>
      <c r="AD39" s="327"/>
      <c r="AE39" s="200"/>
      <c r="AF39" s="200"/>
      <c r="AG39" s="205"/>
      <c r="AH39" s="206">
        <f t="shared" si="21"/>
        <v>21</v>
      </c>
      <c r="AI39" s="213"/>
      <c r="AJ39" s="199"/>
      <c r="AK39" s="199"/>
      <c r="AL39" s="199"/>
      <c r="AM39" s="207"/>
      <c r="AN39" s="208">
        <f t="shared" si="22"/>
        <v>0</v>
      </c>
      <c r="AO39" s="214"/>
      <c r="AP39" s="214"/>
      <c r="AQ39" s="210">
        <f t="shared" si="23"/>
        <v>0</v>
      </c>
      <c r="AR39" s="211">
        <f t="shared" si="24"/>
        <v>49</v>
      </c>
      <c r="AS39" s="405">
        <f t="shared" si="25"/>
        <v>0</v>
      </c>
      <c r="AT39" s="355">
        <v>34.299999999999997</v>
      </c>
      <c r="AU39" s="356">
        <f t="shared" si="26"/>
        <v>20.666666666666668</v>
      </c>
      <c r="AV39" s="386">
        <f t="shared" si="27"/>
        <v>0</v>
      </c>
      <c r="AW39" s="358">
        <f t="shared" si="28"/>
        <v>0</v>
      </c>
      <c r="AX39" s="356">
        <f t="shared" si="29"/>
        <v>13.633333333333329</v>
      </c>
      <c r="AY39" s="387">
        <f t="shared" si="18"/>
        <v>0.6025267249757047</v>
      </c>
      <c r="AZ39" s="388">
        <f t="shared" si="19"/>
        <v>0.39747327502429536</v>
      </c>
      <c r="BA39" s="287">
        <v>1847878</v>
      </c>
      <c r="BB39" s="287">
        <f t="shared" si="17"/>
        <v>37711.795918367345</v>
      </c>
    </row>
    <row r="40" spans="1:54" ht="14.25" customHeight="1" thickBot="1" x14ac:dyDescent="0.3">
      <c r="A40" s="194" t="s">
        <v>799</v>
      </c>
      <c r="B40" s="195" t="s">
        <v>800</v>
      </c>
      <c r="C40" s="122" t="s">
        <v>80</v>
      </c>
      <c r="D40" s="123"/>
      <c r="E40" s="123"/>
      <c r="F40" s="123"/>
      <c r="G40" s="196"/>
      <c r="H40" s="196"/>
      <c r="I40" s="197"/>
      <c r="J40" s="197"/>
      <c r="K40" s="196" t="s">
        <v>762</v>
      </c>
      <c r="L40" s="212">
        <v>48</v>
      </c>
      <c r="M40" s="199">
        <v>38.5</v>
      </c>
      <c r="N40" s="199"/>
      <c r="O40" s="199"/>
      <c r="P40" s="199"/>
      <c r="Q40" s="200"/>
      <c r="R40" s="201" t="str">
        <f>IF(G40="x",1,"")</f>
        <v/>
      </c>
      <c r="S40" s="202">
        <f t="shared" si="20"/>
        <v>38.5</v>
      </c>
      <c r="T40" s="199">
        <v>5.25</v>
      </c>
      <c r="U40" s="199" t="str">
        <f>IF(G40="x",4,"")</f>
        <v/>
      </c>
      <c r="V40" s="199"/>
      <c r="W40" s="204">
        <v>2.25</v>
      </c>
      <c r="X40" s="200"/>
      <c r="Y40" s="200"/>
      <c r="Z40" s="200"/>
      <c r="AA40" s="200"/>
      <c r="AB40" s="326"/>
      <c r="AC40" s="326"/>
      <c r="AD40" s="327"/>
      <c r="AE40" s="200"/>
      <c r="AF40" s="200">
        <v>2</v>
      </c>
      <c r="AG40" s="205" t="s">
        <v>763</v>
      </c>
      <c r="AH40" s="206">
        <f t="shared" si="21"/>
        <v>9.5</v>
      </c>
      <c r="AI40" s="213"/>
      <c r="AJ40" s="199"/>
      <c r="AK40" s="199"/>
      <c r="AL40" s="199"/>
      <c r="AM40" s="207"/>
      <c r="AN40" s="208">
        <f t="shared" si="22"/>
        <v>0</v>
      </c>
      <c r="AO40" s="214"/>
      <c r="AP40" s="214"/>
      <c r="AQ40" s="210">
        <f t="shared" si="23"/>
        <v>0</v>
      </c>
      <c r="AR40" s="211">
        <f t="shared" si="24"/>
        <v>48</v>
      </c>
      <c r="AS40" s="405">
        <f t="shared" si="25"/>
        <v>0</v>
      </c>
      <c r="AT40" s="355">
        <v>33.641666666666666</v>
      </c>
      <c r="AU40" s="356">
        <f t="shared" si="26"/>
        <v>25.666666666666668</v>
      </c>
      <c r="AV40" s="386">
        <f t="shared" si="27"/>
        <v>0</v>
      </c>
      <c r="AW40" s="358">
        <f t="shared" si="28"/>
        <v>0</v>
      </c>
      <c r="AX40" s="356">
        <f t="shared" si="29"/>
        <v>7.9749999999999979</v>
      </c>
      <c r="AY40" s="409">
        <f t="shared" si="18"/>
        <v>0.76294277929155319</v>
      </c>
      <c r="AZ40" s="410">
        <f t="shared" si="19"/>
        <v>0.23705722070844681</v>
      </c>
      <c r="BA40" s="287">
        <v>1577268</v>
      </c>
      <c r="BB40" s="287">
        <f t="shared" si="17"/>
        <v>32859.75</v>
      </c>
    </row>
    <row r="41" spans="1:54" ht="14.25" customHeight="1" thickBot="1" x14ac:dyDescent="0.3">
      <c r="A41" s="194" t="s">
        <v>801</v>
      </c>
      <c r="B41" s="195" t="s">
        <v>802</v>
      </c>
      <c r="C41" s="122" t="s">
        <v>80</v>
      </c>
      <c r="D41" s="123"/>
      <c r="E41" s="123"/>
      <c r="F41" s="123"/>
      <c r="G41" s="196"/>
      <c r="H41" s="196"/>
      <c r="I41" s="197"/>
      <c r="J41" s="197"/>
      <c r="K41" s="196" t="s">
        <v>762</v>
      </c>
      <c r="L41" s="212">
        <v>48</v>
      </c>
      <c r="M41" s="199">
        <v>38.5</v>
      </c>
      <c r="N41" s="199"/>
      <c r="O41" s="199"/>
      <c r="P41" s="199"/>
      <c r="Q41" s="200"/>
      <c r="R41" s="201" t="str">
        <f>IF(G41="x",1,"")</f>
        <v/>
      </c>
      <c r="S41" s="202">
        <f t="shared" si="20"/>
        <v>38.5</v>
      </c>
      <c r="T41" s="199">
        <v>5.25</v>
      </c>
      <c r="U41" s="199" t="str">
        <f>IF(G41="x",4,"")</f>
        <v/>
      </c>
      <c r="V41" s="199"/>
      <c r="W41" s="204">
        <v>2.25</v>
      </c>
      <c r="X41" s="200"/>
      <c r="Y41" s="200"/>
      <c r="Z41" s="200"/>
      <c r="AA41" s="200"/>
      <c r="AB41" s="326"/>
      <c r="AC41" s="326"/>
      <c r="AD41" s="327"/>
      <c r="AE41" s="200"/>
      <c r="AF41" s="200">
        <v>2</v>
      </c>
      <c r="AG41" s="205" t="s">
        <v>763</v>
      </c>
      <c r="AH41" s="206">
        <f t="shared" si="21"/>
        <v>9.5</v>
      </c>
      <c r="AI41" s="213"/>
      <c r="AJ41" s="199"/>
      <c r="AK41" s="199"/>
      <c r="AL41" s="199"/>
      <c r="AM41" s="207"/>
      <c r="AN41" s="208">
        <f t="shared" si="22"/>
        <v>0</v>
      </c>
      <c r="AO41" s="214"/>
      <c r="AP41" s="214"/>
      <c r="AQ41" s="210">
        <f t="shared" si="23"/>
        <v>0</v>
      </c>
      <c r="AR41" s="211">
        <f t="shared" si="24"/>
        <v>48</v>
      </c>
      <c r="AS41" s="405">
        <f t="shared" si="25"/>
        <v>0</v>
      </c>
      <c r="AT41" s="355">
        <v>33.641666666666666</v>
      </c>
      <c r="AU41" s="356">
        <f t="shared" si="26"/>
        <v>25.666666666666668</v>
      </c>
      <c r="AV41" s="386">
        <f t="shared" si="27"/>
        <v>0</v>
      </c>
      <c r="AW41" s="358">
        <f t="shared" si="28"/>
        <v>0</v>
      </c>
      <c r="AX41" s="356">
        <f t="shared" si="29"/>
        <v>7.9749999999999979</v>
      </c>
      <c r="AY41" s="409">
        <f t="shared" si="18"/>
        <v>0.76294277929155319</v>
      </c>
      <c r="AZ41" s="410">
        <f t="shared" si="19"/>
        <v>0.23705722070844681</v>
      </c>
      <c r="BA41" s="287">
        <v>1447494</v>
      </c>
      <c r="BB41" s="287">
        <f t="shared" si="17"/>
        <v>30156.125</v>
      </c>
    </row>
    <row r="42" spans="1:54" ht="14.25" customHeight="1" thickBot="1" x14ac:dyDescent="0.3">
      <c r="A42" s="194" t="s">
        <v>803</v>
      </c>
      <c r="B42" s="195" t="s">
        <v>804</v>
      </c>
      <c r="C42" s="122" t="s">
        <v>54</v>
      </c>
      <c r="D42" s="123"/>
      <c r="E42" s="123"/>
      <c r="F42" s="123"/>
      <c r="G42" s="196" t="s">
        <v>609</v>
      </c>
      <c r="H42" s="196"/>
      <c r="I42" s="197"/>
      <c r="J42" s="197"/>
      <c r="K42" s="196" t="s">
        <v>318</v>
      </c>
      <c r="L42" s="212">
        <v>38.549999999999997</v>
      </c>
      <c r="M42" s="199">
        <v>15</v>
      </c>
      <c r="N42" s="199"/>
      <c r="O42" s="199"/>
      <c r="P42" s="199"/>
      <c r="Q42" s="200"/>
      <c r="R42" s="201">
        <v>2</v>
      </c>
      <c r="S42" s="202">
        <f t="shared" si="20"/>
        <v>17</v>
      </c>
      <c r="T42" s="199">
        <v>8</v>
      </c>
      <c r="U42" s="199">
        <f>IF(G42="x",4,"")</f>
        <v>4</v>
      </c>
      <c r="V42" s="199">
        <v>4</v>
      </c>
      <c r="W42" s="204">
        <v>2.25</v>
      </c>
      <c r="X42" s="200"/>
      <c r="Y42" s="200"/>
      <c r="Z42" s="200"/>
      <c r="AA42" s="200"/>
      <c r="AB42" s="326">
        <v>1</v>
      </c>
      <c r="AC42" s="326">
        <v>1</v>
      </c>
      <c r="AD42" s="327">
        <v>1.3</v>
      </c>
      <c r="AE42" s="200"/>
      <c r="AF42" s="200"/>
      <c r="AG42" s="205"/>
      <c r="AH42" s="206">
        <f t="shared" si="21"/>
        <v>21.55</v>
      </c>
      <c r="AI42" s="213"/>
      <c r="AJ42" s="199"/>
      <c r="AK42" s="199"/>
      <c r="AL42" s="199"/>
      <c r="AM42" s="207"/>
      <c r="AN42" s="208">
        <f t="shared" si="22"/>
        <v>0</v>
      </c>
      <c r="AO42" s="214"/>
      <c r="AP42" s="214"/>
      <c r="AQ42" s="210">
        <f t="shared" si="23"/>
        <v>0</v>
      </c>
      <c r="AR42" s="211">
        <f t="shared" si="24"/>
        <v>38.549999999999997</v>
      </c>
      <c r="AS42" s="405">
        <f t="shared" si="25"/>
        <v>0</v>
      </c>
      <c r="AT42" s="355">
        <v>28.25</v>
      </c>
      <c r="AU42" s="356">
        <f t="shared" si="26"/>
        <v>12</v>
      </c>
      <c r="AV42" s="386">
        <f t="shared" si="27"/>
        <v>0</v>
      </c>
      <c r="AW42" s="358">
        <f t="shared" si="28"/>
        <v>0</v>
      </c>
      <c r="AX42" s="356">
        <f t="shared" si="29"/>
        <v>16.25</v>
      </c>
      <c r="AY42" s="387">
        <f t="shared" si="18"/>
        <v>0.4247787610619469</v>
      </c>
      <c r="AZ42" s="388">
        <f t="shared" si="19"/>
        <v>0.5752212389380531</v>
      </c>
      <c r="BA42" s="287">
        <v>1487163</v>
      </c>
      <c r="BB42" s="287">
        <f t="shared" si="17"/>
        <v>38577.509727626464</v>
      </c>
    </row>
    <row r="43" spans="1:54" ht="14.25" customHeight="1" thickBot="1" x14ac:dyDescent="0.3">
      <c r="A43" s="194" t="s">
        <v>805</v>
      </c>
      <c r="B43" s="195" t="s">
        <v>806</v>
      </c>
      <c r="C43" s="122" t="s">
        <v>54</v>
      </c>
      <c r="D43" s="123"/>
      <c r="E43" s="123"/>
      <c r="F43" s="123"/>
      <c r="G43" s="196"/>
      <c r="H43" s="196"/>
      <c r="I43" s="197"/>
      <c r="J43" s="197"/>
      <c r="K43" s="196" t="s">
        <v>349</v>
      </c>
      <c r="L43" s="212">
        <v>22.25</v>
      </c>
      <c r="M43" s="199">
        <v>12</v>
      </c>
      <c r="N43" s="199"/>
      <c r="O43" s="199"/>
      <c r="P43" s="199"/>
      <c r="Q43" s="200"/>
      <c r="R43" s="201"/>
      <c r="S43" s="202">
        <f t="shared" si="20"/>
        <v>12</v>
      </c>
      <c r="T43" s="199">
        <f>IF($C43="",0,VLOOKUP($C43,[5]Hoja1!$C$11:$D$27,2,FALSE)*M43)+IF($D43="",0,VLOOKUP($D43,[5]Hoja1!$C$11:$D$27,2,FALSE)*N43)+IF($F43="",0,VLOOKUP($F43,[5]Hoja1!$C$11:$D$27,2,FALSE)*P43)+IF(R43="",0,R43*0.5)</f>
        <v>6</v>
      </c>
      <c r="U43" s="199"/>
      <c r="V43" s="199"/>
      <c r="W43" s="204">
        <v>2.25</v>
      </c>
      <c r="X43" s="200"/>
      <c r="Y43" s="200"/>
      <c r="Z43" s="200"/>
      <c r="AA43" s="200"/>
      <c r="AB43" s="326">
        <v>1</v>
      </c>
      <c r="AC43" s="326">
        <v>1</v>
      </c>
      <c r="AD43" s="327">
        <v>0</v>
      </c>
      <c r="AE43" s="200"/>
      <c r="AF43" s="200"/>
      <c r="AG43" s="205"/>
      <c r="AH43" s="206">
        <f t="shared" si="21"/>
        <v>10.25</v>
      </c>
      <c r="AI43" s="213"/>
      <c r="AJ43" s="199"/>
      <c r="AK43" s="199"/>
      <c r="AL43" s="199"/>
      <c r="AM43" s="207"/>
      <c r="AN43" s="208">
        <f t="shared" si="22"/>
        <v>0</v>
      </c>
      <c r="AO43" s="214"/>
      <c r="AP43" s="214"/>
      <c r="AQ43" s="210">
        <f t="shared" si="23"/>
        <v>0</v>
      </c>
      <c r="AR43" s="211">
        <f t="shared" si="24"/>
        <v>22.25</v>
      </c>
      <c r="AS43" s="405">
        <f t="shared" si="25"/>
        <v>0</v>
      </c>
      <c r="AT43" s="355">
        <v>21.2</v>
      </c>
      <c r="AU43" s="356">
        <f t="shared" si="26"/>
        <v>8.6666666666666661</v>
      </c>
      <c r="AV43" s="386">
        <f t="shared" si="27"/>
        <v>0</v>
      </c>
      <c r="AW43" s="358">
        <f t="shared" si="28"/>
        <v>0</v>
      </c>
      <c r="AX43" s="356">
        <f t="shared" si="29"/>
        <v>12.533333333333333</v>
      </c>
      <c r="AY43" s="416">
        <f t="shared" si="18"/>
        <v>0.40880503144654085</v>
      </c>
      <c r="AZ43" s="388">
        <f t="shared" si="19"/>
        <v>0.5911949685534591</v>
      </c>
      <c r="BA43" s="287">
        <v>778750</v>
      </c>
      <c r="BB43" s="287">
        <f t="shared" si="17"/>
        <v>35000</v>
      </c>
    </row>
    <row r="44" spans="1:54" ht="14.25" customHeight="1" thickBot="1" x14ac:dyDescent="0.3">
      <c r="A44" s="194" t="s">
        <v>807</v>
      </c>
      <c r="B44" s="195" t="s">
        <v>808</v>
      </c>
      <c r="C44" s="122" t="s">
        <v>180</v>
      </c>
      <c r="D44" s="123"/>
      <c r="E44" s="123"/>
      <c r="F44" s="123"/>
      <c r="G44" s="196"/>
      <c r="H44" s="196"/>
      <c r="I44" s="197"/>
      <c r="J44" s="197"/>
      <c r="K44" s="196" t="s">
        <v>318</v>
      </c>
      <c r="L44" s="212">
        <v>18</v>
      </c>
      <c r="M44" s="199">
        <v>10</v>
      </c>
      <c r="N44" s="199"/>
      <c r="O44" s="199"/>
      <c r="P44" s="199"/>
      <c r="Q44" s="200"/>
      <c r="R44" s="201" t="str">
        <f>IF(G44="x",1,"")</f>
        <v/>
      </c>
      <c r="S44" s="202">
        <f t="shared" si="20"/>
        <v>10</v>
      </c>
      <c r="T44" s="199">
        <f>IF($C44="",0,VLOOKUP($C44,[5]Hoja1!$C$11:$D$27,2,FALSE)*M44)+IF($D44="",0,VLOOKUP($D44,[5]Hoja1!$C$11:$D$27,2,FALSE)*N44)+IF($F44="",0,VLOOKUP($F44,[5]Hoja1!$C$11:$D$27,2,FALSE)*P44)+IF(R44="",0,R44*0.5)</f>
        <v>3</v>
      </c>
      <c r="U44" s="199" t="str">
        <f>IF(G44="x",4,"")</f>
        <v/>
      </c>
      <c r="V44" s="199"/>
      <c r="W44" s="204">
        <v>2.25</v>
      </c>
      <c r="X44" s="200"/>
      <c r="Y44" s="200">
        <v>2.2999999999999998</v>
      </c>
      <c r="Z44" s="200"/>
      <c r="AA44" s="200"/>
      <c r="AB44" s="326"/>
      <c r="AC44" s="326"/>
      <c r="AD44" s="327"/>
      <c r="AE44" s="200"/>
      <c r="AF44" s="200">
        <v>3</v>
      </c>
      <c r="AG44" s="205" t="s">
        <v>753</v>
      </c>
      <c r="AH44" s="206">
        <f t="shared" si="21"/>
        <v>10.55</v>
      </c>
      <c r="AI44" s="213"/>
      <c r="AJ44" s="199"/>
      <c r="AK44" s="199"/>
      <c r="AL44" s="199"/>
      <c r="AM44" s="207"/>
      <c r="AN44" s="208">
        <f t="shared" si="22"/>
        <v>0</v>
      </c>
      <c r="AO44" s="214"/>
      <c r="AP44" s="214"/>
      <c r="AQ44" s="210">
        <f t="shared" si="23"/>
        <v>0</v>
      </c>
      <c r="AR44" s="211">
        <f t="shared" si="24"/>
        <v>20.55</v>
      </c>
      <c r="AS44" s="405">
        <f t="shared" si="25"/>
        <v>-2.5500000000000007</v>
      </c>
      <c r="AT44" s="355">
        <v>17.166666666666668</v>
      </c>
      <c r="AU44" s="356">
        <f t="shared" si="26"/>
        <v>6.666666666666667</v>
      </c>
      <c r="AV44" s="386">
        <f t="shared" si="27"/>
        <v>0</v>
      </c>
      <c r="AW44" s="358">
        <f t="shared" si="28"/>
        <v>0</v>
      </c>
      <c r="AX44" s="356">
        <f t="shared" si="29"/>
        <v>10.5</v>
      </c>
      <c r="AY44" s="387">
        <f t="shared" si="18"/>
        <v>0.38834951456310679</v>
      </c>
      <c r="AZ44" s="388">
        <f t="shared" si="19"/>
        <v>0.61165048543689315</v>
      </c>
      <c r="BA44" s="287">
        <v>777750</v>
      </c>
      <c r="BB44" s="287">
        <f t="shared" si="17"/>
        <v>43208.333333333336</v>
      </c>
    </row>
    <row r="45" spans="1:54" ht="14.25" customHeight="1" thickBot="1" x14ac:dyDescent="0.3">
      <c r="A45" s="194" t="s">
        <v>809</v>
      </c>
      <c r="B45" s="195" t="s">
        <v>810</v>
      </c>
      <c r="C45" s="122" t="s">
        <v>56</v>
      </c>
      <c r="D45" s="123" t="s">
        <v>74</v>
      </c>
      <c r="E45" s="123"/>
      <c r="F45" s="123"/>
      <c r="G45" s="196" t="s">
        <v>609</v>
      </c>
      <c r="H45" s="196"/>
      <c r="I45" s="197"/>
      <c r="J45" s="197"/>
      <c r="K45" s="196" t="s">
        <v>349</v>
      </c>
      <c r="L45" s="212">
        <v>29.15</v>
      </c>
      <c r="M45" s="199">
        <v>6</v>
      </c>
      <c r="N45" s="199">
        <v>4</v>
      </c>
      <c r="O45" s="199"/>
      <c r="P45" s="199"/>
      <c r="Q45" s="200"/>
      <c r="R45" s="201">
        <v>1</v>
      </c>
      <c r="S45" s="202">
        <f t="shared" si="20"/>
        <v>11</v>
      </c>
      <c r="T45" s="199">
        <f>IF($C45="",0,VLOOKUP($C45,[5]Hoja1!$C$11:$D$27,2,FALSE)*M45)+IF($D45="",0,VLOOKUP($D45,[5]Hoja1!$C$11:$D$27,2,FALSE)*N45)+IF($F45="",0,VLOOKUP($F45,[5]Hoja1!$C$11:$D$27,2,FALSE)*P45)+IF(R45="",0,R45*0.5)</f>
        <v>5.5</v>
      </c>
      <c r="U45" s="199">
        <f>IF(G45="x",4,"")</f>
        <v>4</v>
      </c>
      <c r="V45" s="199">
        <v>4</v>
      </c>
      <c r="W45" s="204">
        <v>2.25</v>
      </c>
      <c r="X45" s="200"/>
      <c r="Y45" s="200"/>
      <c r="Z45" s="200"/>
      <c r="AA45" s="200"/>
      <c r="AB45" s="326">
        <v>2</v>
      </c>
      <c r="AC45" s="326"/>
      <c r="AD45" s="327">
        <v>0.4</v>
      </c>
      <c r="AE45" s="200"/>
      <c r="AF45" s="200"/>
      <c r="AG45" s="205"/>
      <c r="AH45" s="206">
        <f t="shared" si="21"/>
        <v>18.149999999999999</v>
      </c>
      <c r="AI45" s="213"/>
      <c r="AJ45" s="199"/>
      <c r="AK45" s="199"/>
      <c r="AL45" s="199"/>
      <c r="AM45" s="207"/>
      <c r="AN45" s="208">
        <f t="shared" si="22"/>
        <v>0</v>
      </c>
      <c r="AO45" s="214"/>
      <c r="AP45" s="214"/>
      <c r="AQ45" s="210">
        <f t="shared" si="23"/>
        <v>0</v>
      </c>
      <c r="AR45" s="211">
        <f t="shared" si="24"/>
        <v>29.15</v>
      </c>
      <c r="AS45" s="405">
        <f t="shared" si="25"/>
        <v>0</v>
      </c>
      <c r="AT45" s="355">
        <v>24.166666666666668</v>
      </c>
      <c r="AU45" s="356">
        <f t="shared" si="26"/>
        <v>8.6666666666666661</v>
      </c>
      <c r="AV45" s="386">
        <f t="shared" si="27"/>
        <v>0</v>
      </c>
      <c r="AW45" s="358">
        <f t="shared" si="28"/>
        <v>0</v>
      </c>
      <c r="AX45" s="356">
        <f t="shared" si="29"/>
        <v>15.500000000000002</v>
      </c>
      <c r="AY45" s="387">
        <f t="shared" si="18"/>
        <v>0.35862068965517235</v>
      </c>
      <c r="AZ45" s="388">
        <f t="shared" si="19"/>
        <v>0.64137931034482765</v>
      </c>
      <c r="BA45" s="287">
        <v>1118821</v>
      </c>
      <c r="BB45" s="287">
        <f t="shared" si="17"/>
        <v>38381.509433962266</v>
      </c>
    </row>
    <row r="46" spans="1:54" ht="14.25" customHeight="1" thickBot="1" x14ac:dyDescent="0.3">
      <c r="A46" s="194" t="s">
        <v>811</v>
      </c>
      <c r="B46" s="195" t="s">
        <v>812</v>
      </c>
      <c r="C46" s="122" t="s">
        <v>80</v>
      </c>
      <c r="D46" s="123"/>
      <c r="E46" s="123"/>
      <c r="F46" s="123"/>
      <c r="G46" s="196"/>
      <c r="H46" s="196"/>
      <c r="I46" s="197"/>
      <c r="J46" s="197"/>
      <c r="K46" s="196" t="s">
        <v>762</v>
      </c>
      <c r="L46" s="212">
        <v>48</v>
      </c>
      <c r="M46" s="199">
        <v>38.5</v>
      </c>
      <c r="N46" s="199"/>
      <c r="O46" s="199"/>
      <c r="P46" s="199"/>
      <c r="Q46" s="200"/>
      <c r="R46" s="201" t="str">
        <f>IF(G46="x",1,"")</f>
        <v/>
      </c>
      <c r="S46" s="202">
        <f t="shared" si="20"/>
        <v>38.5</v>
      </c>
      <c r="T46" s="199">
        <v>5.25</v>
      </c>
      <c r="U46" s="199" t="str">
        <f>IF(G46="x",4,"")</f>
        <v/>
      </c>
      <c r="V46" s="199"/>
      <c r="W46" s="204">
        <v>2.25</v>
      </c>
      <c r="X46" s="200"/>
      <c r="Y46" s="200"/>
      <c r="Z46" s="200"/>
      <c r="AA46" s="200"/>
      <c r="AB46" s="326"/>
      <c r="AC46" s="326"/>
      <c r="AD46" s="327"/>
      <c r="AE46" s="200"/>
      <c r="AF46" s="200">
        <v>2</v>
      </c>
      <c r="AG46" s="205" t="s">
        <v>763</v>
      </c>
      <c r="AH46" s="206">
        <f t="shared" si="21"/>
        <v>9.5</v>
      </c>
      <c r="AI46" s="213"/>
      <c r="AJ46" s="199"/>
      <c r="AK46" s="199"/>
      <c r="AL46" s="199"/>
      <c r="AM46" s="207"/>
      <c r="AN46" s="208">
        <f t="shared" si="22"/>
        <v>0</v>
      </c>
      <c r="AO46" s="214"/>
      <c r="AP46" s="214"/>
      <c r="AQ46" s="210">
        <f t="shared" si="23"/>
        <v>0</v>
      </c>
      <c r="AR46" s="211">
        <f t="shared" si="24"/>
        <v>48</v>
      </c>
      <c r="AS46" s="405">
        <f t="shared" si="25"/>
        <v>0</v>
      </c>
      <c r="AT46" s="355">
        <v>33.641666666666666</v>
      </c>
      <c r="AU46" s="356">
        <f t="shared" si="26"/>
        <v>25.666666666666668</v>
      </c>
      <c r="AV46" s="386">
        <f t="shared" si="27"/>
        <v>0</v>
      </c>
      <c r="AW46" s="358">
        <f t="shared" si="28"/>
        <v>0</v>
      </c>
      <c r="AX46" s="356">
        <f t="shared" si="29"/>
        <v>7.9749999999999979</v>
      </c>
      <c r="AY46" s="409">
        <f t="shared" si="18"/>
        <v>0.76294277929155319</v>
      </c>
      <c r="AZ46" s="410">
        <f t="shared" si="19"/>
        <v>0.23705722070844681</v>
      </c>
      <c r="BA46" s="287">
        <v>1472401</v>
      </c>
      <c r="BB46" s="287">
        <f t="shared" si="17"/>
        <v>30675.020833333332</v>
      </c>
    </row>
    <row r="47" spans="1:54" ht="14.25" customHeight="1" thickBot="1" x14ac:dyDescent="0.3">
      <c r="A47" s="194" t="s">
        <v>847</v>
      </c>
      <c r="B47" s="195" t="s">
        <v>848</v>
      </c>
      <c r="C47" s="122" t="s">
        <v>114</v>
      </c>
      <c r="D47" s="123" t="s">
        <v>61</v>
      </c>
      <c r="E47" s="123"/>
      <c r="F47" s="123"/>
      <c r="G47" s="196" t="s">
        <v>609</v>
      </c>
      <c r="H47" s="196"/>
      <c r="I47" s="197"/>
      <c r="J47" s="197"/>
      <c r="K47" s="196" t="s">
        <v>290</v>
      </c>
      <c r="L47" s="212">
        <v>47</v>
      </c>
      <c r="M47" s="199">
        <v>15</v>
      </c>
      <c r="N47" s="199"/>
      <c r="O47" s="199"/>
      <c r="P47" s="199"/>
      <c r="Q47" s="200">
        <v>8</v>
      </c>
      <c r="R47" s="201">
        <v>1</v>
      </c>
      <c r="S47" s="202">
        <f t="shared" si="20"/>
        <v>24</v>
      </c>
      <c r="T47" s="199">
        <f>IF($C47="",0,VLOOKUP($C47,[5]Hoja1!$C$11:$D$27,2,FALSE)*M47)+IF($D47="",0,VLOOKUP($D47,[5]Hoja1!$C$11:$D$27,2,FALSE)*N47)+IF($F47="",0,VLOOKUP($F47,[5]Hoja1!$C$11:$D$27,2,FALSE)*P47)+IF(R47="",0,R47*0.5)</f>
        <v>8</v>
      </c>
      <c r="U47" s="199">
        <v>5</v>
      </c>
      <c r="V47" s="199"/>
      <c r="W47" s="204">
        <v>2.25</v>
      </c>
      <c r="X47" s="200"/>
      <c r="Y47" s="200"/>
      <c r="Z47" s="200"/>
      <c r="AA47" s="200"/>
      <c r="AB47" s="326">
        <v>3</v>
      </c>
      <c r="AC47" s="326"/>
      <c r="AD47" s="327">
        <v>0.75</v>
      </c>
      <c r="AE47" s="200"/>
      <c r="AF47" s="200">
        <v>4</v>
      </c>
      <c r="AG47" s="205" t="s">
        <v>849</v>
      </c>
      <c r="AH47" s="206">
        <f t="shared" si="21"/>
        <v>23</v>
      </c>
      <c r="AI47" s="213"/>
      <c r="AJ47" s="199"/>
      <c r="AK47" s="199"/>
      <c r="AL47" s="199"/>
      <c r="AM47" s="207"/>
      <c r="AN47" s="208">
        <f t="shared" si="22"/>
        <v>0</v>
      </c>
      <c r="AO47" s="214"/>
      <c r="AP47" s="214"/>
      <c r="AQ47" s="210">
        <f t="shared" si="23"/>
        <v>0</v>
      </c>
      <c r="AR47" s="211">
        <f t="shared" si="24"/>
        <v>47</v>
      </c>
      <c r="AS47" s="405">
        <f t="shared" si="25"/>
        <v>0</v>
      </c>
      <c r="AT47" s="355">
        <v>25.316666666666666</v>
      </c>
      <c r="AU47" s="356">
        <f t="shared" si="26"/>
        <v>18</v>
      </c>
      <c r="AV47" s="386">
        <f t="shared" si="27"/>
        <v>0</v>
      </c>
      <c r="AW47" s="358">
        <f t="shared" si="28"/>
        <v>0</v>
      </c>
      <c r="AX47" s="356">
        <f t="shared" si="29"/>
        <v>7.3166666666666664</v>
      </c>
      <c r="AY47" s="387">
        <f t="shared" si="18"/>
        <v>0.71099407504937462</v>
      </c>
      <c r="AZ47" s="388">
        <f t="shared" si="19"/>
        <v>0.28900592495062538</v>
      </c>
      <c r="BA47" s="287">
        <v>1673488</v>
      </c>
      <c r="BB47" s="287">
        <f t="shared" si="17"/>
        <v>35606.127659574471</v>
      </c>
    </row>
    <row r="48" spans="1:54" ht="14.25" customHeight="1" thickBot="1" x14ac:dyDescent="0.3">
      <c r="A48" s="194" t="s">
        <v>815</v>
      </c>
      <c r="B48" s="195" t="s">
        <v>816</v>
      </c>
      <c r="C48" s="122" t="s">
        <v>627</v>
      </c>
      <c r="D48" s="123"/>
      <c r="E48" s="123"/>
      <c r="F48" s="123"/>
      <c r="G48" s="196"/>
      <c r="H48" s="196" t="s">
        <v>609</v>
      </c>
      <c r="I48" s="197"/>
      <c r="J48" s="197"/>
      <c r="K48" s="196" t="s">
        <v>349</v>
      </c>
      <c r="L48" s="212">
        <v>25</v>
      </c>
      <c r="M48" s="199">
        <v>6</v>
      </c>
      <c r="N48" s="199"/>
      <c r="O48" s="199"/>
      <c r="P48" s="199"/>
      <c r="Q48" s="200"/>
      <c r="R48" s="201" t="str">
        <f>IF(G48="x",1,"")</f>
        <v/>
      </c>
      <c r="S48" s="202">
        <f t="shared" si="20"/>
        <v>6</v>
      </c>
      <c r="T48" s="199">
        <f>IF($C48="",0,VLOOKUP($C48,[5]Hoja1!$C$11:$D$27,2,FALSE)*M48)+IF($D48="",0,VLOOKUP($D48,[5]Hoja1!$C$11:$D$27,2,FALSE)*N48)+IF($F48="",0,VLOOKUP($F48,[5]Hoja1!$C$11:$D$27,2,FALSE)*P48)+IF(R48="",0,R48*0.5)</f>
        <v>3</v>
      </c>
      <c r="U48" s="199" t="str">
        <f t="shared" ref="U48:U53" si="30">IF(G48="x",4,"")</f>
        <v/>
      </c>
      <c r="V48" s="199"/>
      <c r="W48" s="204">
        <v>2.25</v>
      </c>
      <c r="X48" s="200"/>
      <c r="Y48" s="200"/>
      <c r="Z48" s="200">
        <v>3</v>
      </c>
      <c r="AA48" s="200"/>
      <c r="AB48" s="326"/>
      <c r="AC48" s="326"/>
      <c r="AD48" s="327">
        <v>1</v>
      </c>
      <c r="AE48" s="200"/>
      <c r="AF48" s="200">
        <v>4</v>
      </c>
      <c r="AG48" s="205" t="s">
        <v>770</v>
      </c>
      <c r="AH48" s="206">
        <f t="shared" si="21"/>
        <v>13.25</v>
      </c>
      <c r="AI48" s="213"/>
      <c r="AJ48" s="199">
        <v>6</v>
      </c>
      <c r="AK48" s="199"/>
      <c r="AL48" s="199"/>
      <c r="AM48" s="207"/>
      <c r="AN48" s="208">
        <f t="shared" si="22"/>
        <v>6</v>
      </c>
      <c r="AO48" s="214"/>
      <c r="AP48" s="214"/>
      <c r="AQ48" s="210">
        <f t="shared" si="23"/>
        <v>0</v>
      </c>
      <c r="AR48" s="211">
        <f t="shared" si="24"/>
        <v>25.25</v>
      </c>
      <c r="AS48" s="405">
        <f t="shared" si="25"/>
        <v>-0.25</v>
      </c>
      <c r="AT48" s="355">
        <v>17.100000000000001</v>
      </c>
      <c r="AU48" s="356">
        <f t="shared" si="26"/>
        <v>4</v>
      </c>
      <c r="AV48" s="386">
        <f t="shared" si="27"/>
        <v>4</v>
      </c>
      <c r="AW48" s="358">
        <f t="shared" si="28"/>
        <v>0</v>
      </c>
      <c r="AX48" s="356">
        <f t="shared" si="29"/>
        <v>9.1000000000000014</v>
      </c>
      <c r="AY48" s="387">
        <f t="shared" si="18"/>
        <v>0.30534351145038163</v>
      </c>
      <c r="AZ48" s="388">
        <f t="shared" si="19"/>
        <v>0.69465648854961837</v>
      </c>
      <c r="BA48" s="287">
        <v>984750</v>
      </c>
      <c r="BB48" s="287">
        <f t="shared" si="17"/>
        <v>39390</v>
      </c>
    </row>
    <row r="49" spans="1:54" ht="14.25" customHeight="1" thickBot="1" x14ac:dyDescent="0.3">
      <c r="A49" s="194" t="s">
        <v>817</v>
      </c>
      <c r="B49" s="195" t="s">
        <v>818</v>
      </c>
      <c r="C49" s="122" t="s">
        <v>54</v>
      </c>
      <c r="D49" s="123"/>
      <c r="E49" s="123"/>
      <c r="F49" s="123"/>
      <c r="G49" s="196" t="s">
        <v>609</v>
      </c>
      <c r="H49" s="196"/>
      <c r="I49" s="197"/>
      <c r="J49" s="197"/>
      <c r="K49" s="196" t="s">
        <v>349</v>
      </c>
      <c r="L49" s="212">
        <v>50.25</v>
      </c>
      <c r="M49" s="199">
        <v>19</v>
      </c>
      <c r="N49" s="199"/>
      <c r="O49" s="199"/>
      <c r="P49" s="199"/>
      <c r="Q49" s="200"/>
      <c r="R49" s="201">
        <v>1</v>
      </c>
      <c r="S49" s="202">
        <f t="shared" si="20"/>
        <v>20</v>
      </c>
      <c r="T49" s="199">
        <f>IF($C49="",0,VLOOKUP($C49,[5]Hoja1!$C$11:$D$27,2,FALSE)*M49)+IF($D49="",0,VLOOKUP($D49,[5]Hoja1!$C$11:$D$27,2,FALSE)*N49)+IF($F49="",0,VLOOKUP($F49,[5]Hoja1!$C$11:$D$27,2,FALSE)*P49)+IF(R49="",0,R49*0.5)</f>
        <v>10</v>
      </c>
      <c r="U49" s="199">
        <f t="shared" si="30"/>
        <v>4</v>
      </c>
      <c r="V49" s="199">
        <v>3</v>
      </c>
      <c r="W49" s="204">
        <v>2.25</v>
      </c>
      <c r="X49" s="200"/>
      <c r="Y49" s="200"/>
      <c r="Z49" s="200"/>
      <c r="AA49" s="200"/>
      <c r="AB49" s="326">
        <v>1</v>
      </c>
      <c r="AC49" s="326"/>
      <c r="AD49" s="327"/>
      <c r="AE49" s="200"/>
      <c r="AF49" s="200"/>
      <c r="AG49" s="205"/>
      <c r="AH49" s="206">
        <f t="shared" si="21"/>
        <v>20.25</v>
      </c>
      <c r="AI49" s="213"/>
      <c r="AJ49" s="199">
        <v>8</v>
      </c>
      <c r="AK49" s="199"/>
      <c r="AL49" s="199">
        <v>2</v>
      </c>
      <c r="AM49" s="207" t="s">
        <v>819</v>
      </c>
      <c r="AN49" s="208">
        <f t="shared" si="22"/>
        <v>10</v>
      </c>
      <c r="AO49" s="214"/>
      <c r="AP49" s="214"/>
      <c r="AQ49" s="210">
        <f t="shared" si="23"/>
        <v>0</v>
      </c>
      <c r="AR49" s="211">
        <f t="shared" si="24"/>
        <v>50.25</v>
      </c>
      <c r="AS49" s="405">
        <f t="shared" si="25"/>
        <v>0</v>
      </c>
      <c r="AT49" s="355">
        <v>36.31666666666667</v>
      </c>
      <c r="AU49" s="356">
        <f t="shared" si="26"/>
        <v>14</v>
      </c>
      <c r="AV49" s="386">
        <f t="shared" si="27"/>
        <v>6.666666666666667</v>
      </c>
      <c r="AW49" s="358">
        <f t="shared" si="28"/>
        <v>0</v>
      </c>
      <c r="AX49" s="356">
        <f t="shared" si="29"/>
        <v>15.650000000000002</v>
      </c>
      <c r="AY49" s="387">
        <f t="shared" si="18"/>
        <v>0.47217537942664417</v>
      </c>
      <c r="AZ49" s="388">
        <f t="shared" si="19"/>
        <v>0.52782462057335588</v>
      </c>
      <c r="BA49" s="287">
        <v>2006374</v>
      </c>
      <c r="BB49" s="287">
        <f t="shared" si="17"/>
        <v>39927.840796019904</v>
      </c>
    </row>
    <row r="50" spans="1:54" ht="14.25" customHeight="1" thickBot="1" x14ac:dyDescent="0.3">
      <c r="A50" s="194" t="s">
        <v>820</v>
      </c>
      <c r="B50" s="195" t="s">
        <v>821</v>
      </c>
      <c r="C50" s="122" t="s">
        <v>80</v>
      </c>
      <c r="D50" s="123" t="s">
        <v>56</v>
      </c>
      <c r="E50" s="123"/>
      <c r="F50" s="123"/>
      <c r="G50" s="196"/>
      <c r="H50" s="196"/>
      <c r="I50" s="197" t="s">
        <v>57</v>
      </c>
      <c r="J50" s="217" t="s">
        <v>785</v>
      </c>
      <c r="K50" s="196" t="s">
        <v>762</v>
      </c>
      <c r="L50" s="212">
        <v>46.25</v>
      </c>
      <c r="M50" s="199"/>
      <c r="N50" s="199">
        <v>2</v>
      </c>
      <c r="O50" s="199"/>
      <c r="P50" s="199"/>
      <c r="Q50" s="200"/>
      <c r="R50" s="201" t="str">
        <f>IF(G50="x",1,"")</f>
        <v/>
      </c>
      <c r="S50" s="202">
        <f t="shared" si="20"/>
        <v>2</v>
      </c>
      <c r="T50" s="199">
        <f>IF($C50="",0,VLOOKUP($C50,[5]Hoja1!$C$11:$D$27,2,FALSE)*M50)+IF($D50="",0,VLOOKUP($D50,[5]Hoja1!$C$11:$D$27,2,FALSE)*N50)+IF($F50="",0,VLOOKUP($F50,[5]Hoja1!$C$11:$D$27,2,FALSE)*P50)+IF(R50="",0,R50*0.5)</f>
        <v>1</v>
      </c>
      <c r="U50" s="199" t="str">
        <f t="shared" si="30"/>
        <v/>
      </c>
      <c r="V50" s="199"/>
      <c r="W50" s="204">
        <v>2.25</v>
      </c>
      <c r="X50" s="200"/>
      <c r="Y50" s="200"/>
      <c r="Z50" s="200"/>
      <c r="AA50" s="200"/>
      <c r="AB50" s="326"/>
      <c r="AC50" s="326"/>
      <c r="AD50" s="327"/>
      <c r="AE50" s="200"/>
      <c r="AF50" s="200"/>
      <c r="AG50" s="205"/>
      <c r="AH50" s="206">
        <f t="shared" si="21"/>
        <v>3.25</v>
      </c>
      <c r="AI50" s="213">
        <v>41</v>
      </c>
      <c r="AJ50" s="199"/>
      <c r="AK50" s="199"/>
      <c r="AL50" s="199"/>
      <c r="AM50" s="207"/>
      <c r="AN50" s="208">
        <f t="shared" si="22"/>
        <v>41</v>
      </c>
      <c r="AO50" s="214"/>
      <c r="AP50" s="214"/>
      <c r="AQ50" s="210">
        <f t="shared" si="23"/>
        <v>0</v>
      </c>
      <c r="AR50" s="211">
        <f t="shared" si="24"/>
        <v>46.25</v>
      </c>
      <c r="AS50" s="405">
        <f t="shared" si="25"/>
        <v>0</v>
      </c>
      <c r="AT50" s="355">
        <v>33.033333333333331</v>
      </c>
      <c r="AU50" s="356">
        <f t="shared" si="26"/>
        <v>1.3333333333333333</v>
      </c>
      <c r="AV50" s="386">
        <f t="shared" si="27"/>
        <v>27.333333333333332</v>
      </c>
      <c r="AW50" s="358">
        <f t="shared" si="28"/>
        <v>0</v>
      </c>
      <c r="AX50" s="356">
        <f t="shared" si="29"/>
        <v>4.3666666666666671</v>
      </c>
      <c r="AY50" s="387">
        <f t="shared" si="18"/>
        <v>0.23391812865497075</v>
      </c>
      <c r="AZ50" s="388">
        <f t="shared" si="19"/>
        <v>0.76608187134502925</v>
      </c>
      <c r="BA50" s="287">
        <v>1874416</v>
      </c>
      <c r="BB50" s="287">
        <f t="shared" si="17"/>
        <v>40527.913513513515</v>
      </c>
    </row>
    <row r="51" spans="1:54" ht="14.25" customHeight="1" thickBot="1" x14ac:dyDescent="0.3">
      <c r="A51" s="194" t="s">
        <v>822</v>
      </c>
      <c r="B51" s="195" t="s">
        <v>823</v>
      </c>
      <c r="C51" s="122" t="s">
        <v>61</v>
      </c>
      <c r="D51" s="123"/>
      <c r="E51" s="123"/>
      <c r="F51" s="123"/>
      <c r="G51" s="196"/>
      <c r="H51" s="196"/>
      <c r="I51" s="197"/>
      <c r="J51" s="197"/>
      <c r="K51" s="196" t="s">
        <v>349</v>
      </c>
      <c r="L51" s="212">
        <v>37.25</v>
      </c>
      <c r="M51" s="199">
        <v>20</v>
      </c>
      <c r="N51" s="199"/>
      <c r="O51" s="199"/>
      <c r="P51" s="199"/>
      <c r="Q51" s="200"/>
      <c r="R51" s="201" t="str">
        <f>IF(G51="x",1,"")</f>
        <v/>
      </c>
      <c r="S51" s="202">
        <f t="shared" si="20"/>
        <v>20</v>
      </c>
      <c r="T51" s="199">
        <f>IF($C51="",0,VLOOKUP($C51,[5]Hoja1!$C$11:$D$27,2,FALSE)*M51)+IF($D51="",0,VLOOKUP($D51,[5]Hoja1!$C$11:$D$27,2,FALSE)*N51)+IF($F51="",0,VLOOKUP($F51,[5]Hoja1!$C$11:$D$27,2,FALSE)*P51)+IF(R51="",0,R51*0.5)</f>
        <v>10</v>
      </c>
      <c r="U51" s="199" t="str">
        <f t="shared" si="30"/>
        <v/>
      </c>
      <c r="V51" s="199"/>
      <c r="W51" s="204">
        <v>2.25</v>
      </c>
      <c r="X51" s="200"/>
      <c r="Y51" s="200"/>
      <c r="Z51" s="200"/>
      <c r="AA51" s="200"/>
      <c r="AB51" s="326"/>
      <c r="AC51" s="326"/>
      <c r="AD51" s="327">
        <v>2</v>
      </c>
      <c r="AE51" s="200"/>
      <c r="AF51" s="200">
        <v>3</v>
      </c>
      <c r="AG51" s="205" t="s">
        <v>824</v>
      </c>
      <c r="AH51" s="206">
        <f t="shared" si="21"/>
        <v>17.25</v>
      </c>
      <c r="AI51" s="213"/>
      <c r="AJ51" s="199"/>
      <c r="AK51" s="199"/>
      <c r="AL51" s="199"/>
      <c r="AM51" s="207"/>
      <c r="AN51" s="208">
        <f t="shared" si="22"/>
        <v>0</v>
      </c>
      <c r="AO51" s="214"/>
      <c r="AP51" s="214"/>
      <c r="AQ51" s="210">
        <f t="shared" si="23"/>
        <v>0</v>
      </c>
      <c r="AR51" s="211">
        <f t="shared" si="24"/>
        <v>37.25</v>
      </c>
      <c r="AS51" s="405">
        <f t="shared" si="25"/>
        <v>0</v>
      </c>
      <c r="AT51" s="355">
        <v>26.333333333333332</v>
      </c>
      <c r="AU51" s="356">
        <f t="shared" si="26"/>
        <v>13.333333333333334</v>
      </c>
      <c r="AV51" s="386">
        <f t="shared" si="27"/>
        <v>0</v>
      </c>
      <c r="AW51" s="358">
        <f t="shared" si="28"/>
        <v>0</v>
      </c>
      <c r="AX51" s="356">
        <f t="shared" si="29"/>
        <v>12.999999999999998</v>
      </c>
      <c r="AY51" s="387">
        <f t="shared" si="18"/>
        <v>0.50632911392405067</v>
      </c>
      <c r="AZ51" s="388">
        <f t="shared" si="19"/>
        <v>0.49367088607594933</v>
      </c>
      <c r="BA51" s="287">
        <v>1471217</v>
      </c>
      <c r="BB51" s="287">
        <f t="shared" si="17"/>
        <v>39495.758389261748</v>
      </c>
    </row>
    <row r="52" spans="1:54" ht="14.25" customHeight="1" thickBot="1" x14ac:dyDescent="0.3">
      <c r="A52" s="194" t="s">
        <v>825</v>
      </c>
      <c r="B52" s="195" t="s">
        <v>826</v>
      </c>
      <c r="C52" s="122" t="s">
        <v>126</v>
      </c>
      <c r="D52" s="123"/>
      <c r="E52" s="123"/>
      <c r="F52" s="123"/>
      <c r="G52" s="196"/>
      <c r="H52" s="196"/>
      <c r="I52" s="197"/>
      <c r="J52" s="197"/>
      <c r="K52" s="196" t="s">
        <v>309</v>
      </c>
      <c r="L52" s="212">
        <v>41.19</v>
      </c>
      <c r="M52" s="332">
        <v>17.5</v>
      </c>
      <c r="N52" s="199"/>
      <c r="O52" s="199"/>
      <c r="P52" s="199"/>
      <c r="Q52" s="200"/>
      <c r="R52" s="201" t="str">
        <f>IF(G52="x",1,"")</f>
        <v/>
      </c>
      <c r="S52" s="202">
        <f t="shared" si="20"/>
        <v>17.5</v>
      </c>
      <c r="T52" s="199">
        <f>IF($C52="",0,VLOOKUP($C52,[5]Hoja1!$C$11:$D$27,2,FALSE)*M52)+IF($D52="",0,VLOOKUP($D52,[5]Hoja1!$C$11:$D$27,2,FALSE)*N52)+IF($F52="",0,VLOOKUP($F52,[5]Hoja1!$C$11:$D$27,2,FALSE)*P52)+IF(R52="",0,R52*0.5)</f>
        <v>5.25</v>
      </c>
      <c r="U52" s="199" t="str">
        <f t="shared" si="30"/>
        <v/>
      </c>
      <c r="V52" s="199"/>
      <c r="W52" s="204">
        <v>2.25</v>
      </c>
      <c r="X52" s="200"/>
      <c r="Y52" s="332">
        <v>14.63</v>
      </c>
      <c r="Z52" s="200"/>
      <c r="AA52" s="200"/>
      <c r="AB52" s="326"/>
      <c r="AC52" s="326">
        <v>1</v>
      </c>
      <c r="AD52" s="327">
        <v>0.5</v>
      </c>
      <c r="AE52" s="200"/>
      <c r="AF52" s="200"/>
      <c r="AG52" s="205"/>
      <c r="AH52" s="206">
        <f t="shared" si="21"/>
        <v>23.630000000000003</v>
      </c>
      <c r="AI52" s="213"/>
      <c r="AJ52" s="199"/>
      <c r="AK52" s="199"/>
      <c r="AL52" s="199"/>
      <c r="AM52" s="207"/>
      <c r="AN52" s="208">
        <f t="shared" si="22"/>
        <v>0</v>
      </c>
      <c r="AO52" s="214"/>
      <c r="AP52" s="214"/>
      <c r="AQ52" s="210">
        <f t="shared" si="23"/>
        <v>0</v>
      </c>
      <c r="AR52" s="211">
        <f t="shared" si="24"/>
        <v>41.13</v>
      </c>
      <c r="AS52" s="405">
        <f t="shared" si="25"/>
        <v>5.9999999999995168E-2</v>
      </c>
      <c r="AT52" s="355">
        <v>35.291666666666664</v>
      </c>
      <c r="AU52" s="356">
        <f t="shared" si="26"/>
        <v>11.666666666666666</v>
      </c>
      <c r="AV52" s="386">
        <f t="shared" si="27"/>
        <v>0</v>
      </c>
      <c r="AW52" s="358">
        <f t="shared" si="28"/>
        <v>0</v>
      </c>
      <c r="AX52" s="356">
        <f t="shared" si="29"/>
        <v>23.625</v>
      </c>
      <c r="AY52" s="387">
        <f t="shared" si="18"/>
        <v>0.33057851239669422</v>
      </c>
      <c r="AZ52" s="388">
        <f t="shared" si="19"/>
        <v>0.66942148760330578</v>
      </c>
      <c r="BA52" s="287">
        <v>1326265</v>
      </c>
      <c r="BB52" s="287">
        <f t="shared" si="17"/>
        <v>32198.713279922315</v>
      </c>
    </row>
    <row r="53" spans="1:54" ht="14.25" customHeight="1" thickBot="1" x14ac:dyDescent="0.3">
      <c r="A53" s="194" t="s">
        <v>827</v>
      </c>
      <c r="B53" s="195" t="s">
        <v>828</v>
      </c>
      <c r="C53" s="122" t="s">
        <v>61</v>
      </c>
      <c r="D53" s="123"/>
      <c r="E53" s="123"/>
      <c r="F53" s="123"/>
      <c r="G53" s="196"/>
      <c r="H53" s="196"/>
      <c r="I53" s="197" t="s">
        <v>57</v>
      </c>
      <c r="J53" s="217" t="s">
        <v>785</v>
      </c>
      <c r="K53" s="196" t="s">
        <v>290</v>
      </c>
      <c r="L53" s="212">
        <v>40.25</v>
      </c>
      <c r="M53" s="199">
        <v>12</v>
      </c>
      <c r="N53" s="199"/>
      <c r="O53" s="199"/>
      <c r="P53" s="199"/>
      <c r="Q53" s="200"/>
      <c r="R53" s="201" t="str">
        <f>IF(G53="x",1,"")</f>
        <v/>
      </c>
      <c r="S53" s="202">
        <f t="shared" si="20"/>
        <v>12</v>
      </c>
      <c r="T53" s="199">
        <f>IF($C53="",0,VLOOKUP($C53,[5]Hoja1!$C$11:$D$27,2,FALSE)*M53)+IF($D53="",0,VLOOKUP($D53,[5]Hoja1!$C$11:$D$27,2,FALSE)*N53)+IF($F53="",0,VLOOKUP($F53,[5]Hoja1!$C$11:$D$27,2,FALSE)*P53)+IF(R53="",0,R53*0.5)</f>
        <v>6</v>
      </c>
      <c r="U53" s="199" t="str">
        <f t="shared" si="30"/>
        <v/>
      </c>
      <c r="V53" s="199"/>
      <c r="W53" s="204">
        <v>2.25</v>
      </c>
      <c r="X53" s="200"/>
      <c r="Y53" s="200"/>
      <c r="Z53" s="200"/>
      <c r="AA53" s="200"/>
      <c r="AB53" s="326">
        <v>1</v>
      </c>
      <c r="AC53" s="326">
        <v>1</v>
      </c>
      <c r="AD53" s="327"/>
      <c r="AE53" s="200"/>
      <c r="AF53" s="200">
        <f>2+1</f>
        <v>3</v>
      </c>
      <c r="AG53" s="218" t="s">
        <v>829</v>
      </c>
      <c r="AH53" s="206">
        <f t="shared" si="21"/>
        <v>13.25</v>
      </c>
      <c r="AI53" s="213">
        <v>15</v>
      </c>
      <c r="AJ53" s="199"/>
      <c r="AK53" s="199"/>
      <c r="AL53" s="199"/>
      <c r="AM53" s="207"/>
      <c r="AN53" s="208">
        <f t="shared" si="22"/>
        <v>15</v>
      </c>
      <c r="AO53" s="214"/>
      <c r="AP53" s="214"/>
      <c r="AQ53" s="210">
        <f t="shared" si="23"/>
        <v>0</v>
      </c>
      <c r="AR53" s="211">
        <f t="shared" si="24"/>
        <v>40.25</v>
      </c>
      <c r="AS53" s="405">
        <f t="shared" si="25"/>
        <v>0</v>
      </c>
      <c r="AT53" s="355">
        <v>31.2</v>
      </c>
      <c r="AU53" s="356">
        <f t="shared" si="26"/>
        <v>8.6666666666666661</v>
      </c>
      <c r="AV53" s="386">
        <f t="shared" si="27"/>
        <v>10</v>
      </c>
      <c r="AW53" s="358">
        <f t="shared" si="28"/>
        <v>0</v>
      </c>
      <c r="AX53" s="356">
        <f t="shared" si="29"/>
        <v>12.533333333333331</v>
      </c>
      <c r="AY53" s="387">
        <f t="shared" si="18"/>
        <v>0.40880503144654096</v>
      </c>
      <c r="AZ53" s="388">
        <f t="shared" si="19"/>
        <v>0.5911949685534591</v>
      </c>
      <c r="BA53" s="287">
        <v>1536195</v>
      </c>
      <c r="BB53" s="287">
        <f t="shared" si="17"/>
        <v>38166.335403726705</v>
      </c>
    </row>
    <row r="54" spans="1:54" ht="14.25" customHeight="1" thickBot="1" x14ac:dyDescent="0.3">
      <c r="A54" s="194" t="s">
        <v>869</v>
      </c>
      <c r="B54" s="195" t="s">
        <v>870</v>
      </c>
      <c r="C54" s="122" t="s">
        <v>114</v>
      </c>
      <c r="D54" s="123"/>
      <c r="E54" s="123"/>
      <c r="F54" s="123"/>
      <c r="G54" s="196" t="s">
        <v>609</v>
      </c>
      <c r="H54" s="196"/>
      <c r="I54" s="197"/>
      <c r="J54" s="197"/>
      <c r="K54" s="196" t="s">
        <v>290</v>
      </c>
      <c r="L54" s="212">
        <v>43</v>
      </c>
      <c r="M54" s="199">
        <v>15</v>
      </c>
      <c r="N54" s="199"/>
      <c r="O54" s="199"/>
      <c r="P54" s="199"/>
      <c r="Q54" s="200">
        <v>8</v>
      </c>
      <c r="R54" s="201">
        <v>1</v>
      </c>
      <c r="S54" s="202">
        <f t="shared" si="20"/>
        <v>24</v>
      </c>
      <c r="T54" s="199">
        <f>IF($C54="",0,VLOOKUP($C54,[5]Hoja1!$C$11:$D$27,2,FALSE)*M54)+IF($D54="",0,VLOOKUP($D54,[5]Hoja1!$C$11:$D$27,2,FALSE)*N54)+IF($F54="",0,VLOOKUP($F54,[5]Hoja1!$C$11:$D$27,2,FALSE)*P54)+IF(R54="",0,R54*0.5)</f>
        <v>8</v>
      </c>
      <c r="U54" s="199">
        <v>5</v>
      </c>
      <c r="V54" s="199"/>
      <c r="W54" s="204">
        <v>2.25</v>
      </c>
      <c r="X54" s="200"/>
      <c r="Y54" s="200"/>
      <c r="Z54" s="200"/>
      <c r="AA54" s="200"/>
      <c r="AB54" s="326">
        <v>2</v>
      </c>
      <c r="AC54" s="326">
        <v>1</v>
      </c>
      <c r="AD54" s="327">
        <v>0.75</v>
      </c>
      <c r="AE54" s="200"/>
      <c r="AF54" s="200"/>
      <c r="AG54" s="205"/>
      <c r="AH54" s="206">
        <f t="shared" si="21"/>
        <v>19</v>
      </c>
      <c r="AI54" s="213"/>
      <c r="AJ54" s="199"/>
      <c r="AK54" s="199"/>
      <c r="AL54" s="199"/>
      <c r="AM54" s="207"/>
      <c r="AN54" s="208">
        <f t="shared" si="22"/>
        <v>0</v>
      </c>
      <c r="AO54" s="214"/>
      <c r="AP54" s="214"/>
      <c r="AQ54" s="210">
        <f t="shared" si="23"/>
        <v>0</v>
      </c>
      <c r="AR54" s="211">
        <f t="shared" si="24"/>
        <v>43</v>
      </c>
      <c r="AS54" s="405">
        <f t="shared" si="25"/>
        <v>0</v>
      </c>
      <c r="AT54" s="355">
        <v>30.266666666666666</v>
      </c>
      <c r="AU54" s="356">
        <f t="shared" si="26"/>
        <v>17.333333333333332</v>
      </c>
      <c r="AV54" s="386">
        <f t="shared" si="27"/>
        <v>0</v>
      </c>
      <c r="AW54" s="358">
        <f t="shared" si="28"/>
        <v>0</v>
      </c>
      <c r="AX54" s="356">
        <f t="shared" si="29"/>
        <v>12.933333333333334</v>
      </c>
      <c r="AY54" s="387">
        <f t="shared" si="18"/>
        <v>0.57268722466960353</v>
      </c>
      <c r="AZ54" s="388">
        <f t="shared" si="19"/>
        <v>0.42731277533039652</v>
      </c>
      <c r="BA54" s="287">
        <v>1543175</v>
      </c>
      <c r="BB54" s="287">
        <f t="shared" si="17"/>
        <v>35887.79069767442</v>
      </c>
    </row>
    <row r="55" spans="1:54" ht="14.25" customHeight="1" thickBot="1" x14ac:dyDescent="0.3">
      <c r="A55" s="194" t="s">
        <v>832</v>
      </c>
      <c r="B55" s="195" t="s">
        <v>833</v>
      </c>
      <c r="C55" s="122" t="s">
        <v>80</v>
      </c>
      <c r="D55" s="123"/>
      <c r="E55" s="123"/>
      <c r="F55" s="123"/>
      <c r="G55" s="196"/>
      <c r="H55" s="196"/>
      <c r="I55" s="197"/>
      <c r="J55" s="197"/>
      <c r="K55" s="196" t="s">
        <v>762</v>
      </c>
      <c r="L55" s="212">
        <v>48</v>
      </c>
      <c r="M55" s="199">
        <v>38.5</v>
      </c>
      <c r="N55" s="199"/>
      <c r="O55" s="199"/>
      <c r="P55" s="199"/>
      <c r="Q55" s="200"/>
      <c r="R55" s="201" t="str">
        <f>IF(G55="x",1,"")</f>
        <v/>
      </c>
      <c r="S55" s="202">
        <f t="shared" si="20"/>
        <v>38.5</v>
      </c>
      <c r="T55" s="199">
        <v>5.25</v>
      </c>
      <c r="U55" s="199" t="str">
        <f>IF(G55="x",4,"")</f>
        <v/>
      </c>
      <c r="V55" s="199"/>
      <c r="W55" s="204">
        <v>2.25</v>
      </c>
      <c r="X55" s="200"/>
      <c r="Y55" s="200"/>
      <c r="Z55" s="200"/>
      <c r="AA55" s="200"/>
      <c r="AB55" s="326"/>
      <c r="AC55" s="326"/>
      <c r="AD55" s="327"/>
      <c r="AE55" s="200"/>
      <c r="AF55" s="200">
        <v>2</v>
      </c>
      <c r="AG55" s="205" t="s">
        <v>763</v>
      </c>
      <c r="AH55" s="206">
        <f t="shared" si="21"/>
        <v>9.5</v>
      </c>
      <c r="AI55" s="213"/>
      <c r="AJ55" s="199"/>
      <c r="AK55" s="199"/>
      <c r="AL55" s="199"/>
      <c r="AM55" s="207"/>
      <c r="AN55" s="208">
        <f t="shared" si="22"/>
        <v>0</v>
      </c>
      <c r="AO55" s="214"/>
      <c r="AP55" s="214"/>
      <c r="AQ55" s="210">
        <f t="shared" si="23"/>
        <v>0</v>
      </c>
      <c r="AR55" s="211">
        <f t="shared" si="24"/>
        <v>48</v>
      </c>
      <c r="AS55" s="405">
        <f t="shared" si="25"/>
        <v>0</v>
      </c>
      <c r="AT55" s="355">
        <v>33.641666666666666</v>
      </c>
      <c r="AU55" s="356">
        <f t="shared" si="26"/>
        <v>25.666666666666668</v>
      </c>
      <c r="AV55" s="386">
        <f t="shared" si="27"/>
        <v>0</v>
      </c>
      <c r="AW55" s="358">
        <f t="shared" si="28"/>
        <v>0</v>
      </c>
      <c r="AX55" s="356">
        <f t="shared" si="29"/>
        <v>7.9749999999999979</v>
      </c>
      <c r="AY55" s="409">
        <f t="shared" si="18"/>
        <v>0.76294277929155319</v>
      </c>
      <c r="AZ55" s="410">
        <f t="shared" si="19"/>
        <v>0.23705722070844681</v>
      </c>
      <c r="BA55" s="287">
        <v>1328400</v>
      </c>
      <c r="BB55" s="287">
        <f t="shared" si="17"/>
        <v>27675</v>
      </c>
    </row>
    <row r="56" spans="1:54" ht="14.25" customHeight="1" thickBot="1" x14ac:dyDescent="0.3">
      <c r="A56" s="194" t="s">
        <v>915</v>
      </c>
      <c r="B56" s="195" t="s">
        <v>916</v>
      </c>
      <c r="C56" s="122" t="s">
        <v>114</v>
      </c>
      <c r="D56" s="123" t="s">
        <v>61</v>
      </c>
      <c r="E56" s="123"/>
      <c r="F56" s="123"/>
      <c r="G56" s="196" t="s">
        <v>609</v>
      </c>
      <c r="H56" s="196"/>
      <c r="I56" s="197"/>
      <c r="J56" s="197"/>
      <c r="K56" s="196" t="s">
        <v>290</v>
      </c>
      <c r="L56" s="212">
        <v>47</v>
      </c>
      <c r="M56" s="199">
        <v>15</v>
      </c>
      <c r="N56" s="199"/>
      <c r="O56" s="199"/>
      <c r="P56" s="199"/>
      <c r="Q56" s="200">
        <v>8</v>
      </c>
      <c r="R56" s="201">
        <v>1</v>
      </c>
      <c r="S56" s="202">
        <f t="shared" si="20"/>
        <v>24</v>
      </c>
      <c r="T56" s="199">
        <f>IF($C56="",0,VLOOKUP($C56,[5]Hoja1!$C$11:$D$27,2,FALSE)*M56)+IF($D56="",0,VLOOKUP($D56,[5]Hoja1!$C$11:$D$27,2,FALSE)*N56)+IF($F56="",0,VLOOKUP($F56,[5]Hoja1!$C$11:$D$27,2,FALSE)*P56)+IF(R56="",0,R56*0.5)</f>
        <v>8</v>
      </c>
      <c r="U56" s="199">
        <v>5</v>
      </c>
      <c r="V56" s="199"/>
      <c r="W56" s="204">
        <v>2.25</v>
      </c>
      <c r="X56" s="200"/>
      <c r="Y56" s="200"/>
      <c r="Z56" s="200"/>
      <c r="AA56" s="200"/>
      <c r="AB56" s="326">
        <v>2</v>
      </c>
      <c r="AC56" s="326">
        <v>1</v>
      </c>
      <c r="AD56" s="327">
        <v>0.75</v>
      </c>
      <c r="AE56" s="200"/>
      <c r="AF56" s="200">
        <v>4</v>
      </c>
      <c r="AG56" s="205" t="s">
        <v>917</v>
      </c>
      <c r="AH56" s="206">
        <f t="shared" si="21"/>
        <v>23</v>
      </c>
      <c r="AI56" s="213"/>
      <c r="AJ56" s="199"/>
      <c r="AK56" s="199"/>
      <c r="AL56" s="199"/>
      <c r="AM56" s="207"/>
      <c r="AN56" s="208">
        <f t="shared" si="22"/>
        <v>0</v>
      </c>
      <c r="AO56" s="214"/>
      <c r="AP56" s="214"/>
      <c r="AQ56" s="210">
        <f t="shared" si="23"/>
        <v>0</v>
      </c>
      <c r="AR56" s="211">
        <f t="shared" si="24"/>
        <v>47</v>
      </c>
      <c r="AS56" s="405">
        <f t="shared" si="25"/>
        <v>0</v>
      </c>
      <c r="AT56" s="355">
        <v>33.25</v>
      </c>
      <c r="AU56" s="356">
        <f t="shared" si="26"/>
        <v>17.333333333333332</v>
      </c>
      <c r="AV56" s="386">
        <f t="shared" si="27"/>
        <v>0</v>
      </c>
      <c r="AW56" s="358">
        <f t="shared" si="28"/>
        <v>0</v>
      </c>
      <c r="AX56" s="356">
        <f t="shared" si="29"/>
        <v>15.916666666666668</v>
      </c>
      <c r="AY56" s="387">
        <f t="shared" si="18"/>
        <v>0.52130325814536338</v>
      </c>
      <c r="AZ56" s="388">
        <f t="shared" si="19"/>
        <v>0.47869674185463662</v>
      </c>
      <c r="BA56" s="287">
        <v>1493425</v>
      </c>
      <c r="BB56" s="287">
        <f t="shared" si="17"/>
        <v>31775</v>
      </c>
    </row>
    <row r="57" spans="1:54" ht="14.25" customHeight="1" thickBot="1" x14ac:dyDescent="0.3">
      <c r="A57" s="194" t="s">
        <v>836</v>
      </c>
      <c r="B57" s="195" t="s">
        <v>837</v>
      </c>
      <c r="C57" s="122" t="s">
        <v>80</v>
      </c>
      <c r="D57" s="123"/>
      <c r="E57" s="123"/>
      <c r="F57" s="123"/>
      <c r="G57" s="196"/>
      <c r="H57" s="196"/>
      <c r="I57" s="197"/>
      <c r="J57" s="197"/>
      <c r="K57" s="196" t="s">
        <v>762</v>
      </c>
      <c r="L57" s="212">
        <v>48</v>
      </c>
      <c r="M57" s="199">
        <v>38.5</v>
      </c>
      <c r="N57" s="199"/>
      <c r="O57" s="199"/>
      <c r="P57" s="199"/>
      <c r="Q57" s="200"/>
      <c r="R57" s="201" t="str">
        <f>IF(G57="x",1,"")</f>
        <v/>
      </c>
      <c r="S57" s="202">
        <f t="shared" si="20"/>
        <v>38.5</v>
      </c>
      <c r="T57" s="199">
        <v>5.25</v>
      </c>
      <c r="U57" s="199" t="str">
        <f>IF(G57="x",4,"")</f>
        <v/>
      </c>
      <c r="V57" s="199"/>
      <c r="W57" s="204">
        <v>2.25</v>
      </c>
      <c r="X57" s="200"/>
      <c r="Y57" s="200"/>
      <c r="Z57" s="200"/>
      <c r="AA57" s="200"/>
      <c r="AB57" s="326"/>
      <c r="AC57" s="326"/>
      <c r="AD57" s="327"/>
      <c r="AE57" s="200"/>
      <c r="AF57" s="200">
        <v>2</v>
      </c>
      <c r="AG57" s="205" t="s">
        <v>763</v>
      </c>
      <c r="AH57" s="206">
        <f t="shared" si="21"/>
        <v>9.5</v>
      </c>
      <c r="AI57" s="213"/>
      <c r="AJ57" s="199"/>
      <c r="AK57" s="199"/>
      <c r="AL57" s="199"/>
      <c r="AM57" s="207"/>
      <c r="AN57" s="208">
        <f t="shared" si="22"/>
        <v>0</v>
      </c>
      <c r="AO57" s="214"/>
      <c r="AP57" s="214"/>
      <c r="AQ57" s="210">
        <f t="shared" si="23"/>
        <v>0</v>
      </c>
      <c r="AR57" s="211">
        <f t="shared" si="24"/>
        <v>48</v>
      </c>
      <c r="AS57" s="405">
        <f t="shared" si="25"/>
        <v>0</v>
      </c>
      <c r="AT57" s="355">
        <v>33.641666666666666</v>
      </c>
      <c r="AU57" s="356">
        <f t="shared" si="26"/>
        <v>25.666666666666668</v>
      </c>
      <c r="AV57" s="386">
        <f t="shared" si="27"/>
        <v>0</v>
      </c>
      <c r="AW57" s="358">
        <f t="shared" si="28"/>
        <v>0</v>
      </c>
      <c r="AX57" s="356">
        <f t="shared" si="29"/>
        <v>7.9749999999999979</v>
      </c>
      <c r="AY57" s="409">
        <f t="shared" si="18"/>
        <v>0.76294277929155319</v>
      </c>
      <c r="AZ57" s="410">
        <f t="shared" si="19"/>
        <v>0.23705722070844681</v>
      </c>
      <c r="BA57" s="287">
        <v>1424449</v>
      </c>
      <c r="BB57" s="287">
        <f t="shared" si="17"/>
        <v>29676.020833333332</v>
      </c>
    </row>
    <row r="58" spans="1:54" ht="14.25" customHeight="1" thickBot="1" x14ac:dyDescent="0.3">
      <c r="A58" s="194" t="s">
        <v>838</v>
      </c>
      <c r="B58" s="195" t="s">
        <v>839</v>
      </c>
      <c r="C58" s="122" t="s">
        <v>595</v>
      </c>
      <c r="D58" s="123"/>
      <c r="E58" s="123"/>
      <c r="F58" s="123"/>
      <c r="G58" s="196"/>
      <c r="H58" s="196"/>
      <c r="I58" s="197"/>
      <c r="J58" s="197"/>
      <c r="K58" s="196" t="s">
        <v>349</v>
      </c>
      <c r="L58" s="212">
        <v>44.75</v>
      </c>
      <c r="M58" s="199">
        <v>18</v>
      </c>
      <c r="N58" s="199"/>
      <c r="O58" s="199"/>
      <c r="P58" s="199"/>
      <c r="Q58" s="200"/>
      <c r="R58" s="201" t="str">
        <f>IF(G58="x",1,"")</f>
        <v/>
      </c>
      <c r="S58" s="202">
        <f t="shared" si="20"/>
        <v>18</v>
      </c>
      <c r="T58" s="199">
        <f>IF($C58="",0,VLOOKUP($C58,[5]Hoja1!$C$11:$D$27,2,FALSE)*M58)+IF($D58="",0,VLOOKUP($D58,[5]Hoja1!$C$11:$D$27,2,FALSE)*N58)+IF($F58="",0,VLOOKUP($F58,[5]Hoja1!$C$11:$D$27,2,FALSE)*P58)+IF(R58="",0,R58*0.5)</f>
        <v>9</v>
      </c>
      <c r="U58" s="199" t="str">
        <f>IF(G58="x",4,"")</f>
        <v/>
      </c>
      <c r="V58" s="199"/>
      <c r="W58" s="204">
        <v>2.25</v>
      </c>
      <c r="X58" s="200"/>
      <c r="Y58" s="200"/>
      <c r="Z58" s="200">
        <v>7.5</v>
      </c>
      <c r="AA58" s="200"/>
      <c r="AB58" s="326">
        <v>3</v>
      </c>
      <c r="AC58" s="326">
        <v>1</v>
      </c>
      <c r="AD58" s="327">
        <v>1</v>
      </c>
      <c r="AE58" s="200"/>
      <c r="AF58" s="200">
        <v>3</v>
      </c>
      <c r="AG58" s="205" t="s">
        <v>840</v>
      </c>
      <c r="AH58" s="206">
        <f t="shared" si="21"/>
        <v>26.75</v>
      </c>
      <c r="AI58" s="213"/>
      <c r="AJ58" s="199"/>
      <c r="AK58" s="199"/>
      <c r="AL58" s="199"/>
      <c r="AM58" s="207"/>
      <c r="AN58" s="208">
        <f t="shared" si="22"/>
        <v>0</v>
      </c>
      <c r="AO58" s="214"/>
      <c r="AP58" s="214"/>
      <c r="AQ58" s="210">
        <f t="shared" si="23"/>
        <v>0</v>
      </c>
      <c r="AR58" s="211">
        <f t="shared" si="24"/>
        <v>44.75</v>
      </c>
      <c r="AS58" s="405">
        <f t="shared" si="25"/>
        <v>0</v>
      </c>
      <c r="AT58" s="355">
        <v>38.299999999999997</v>
      </c>
      <c r="AU58" s="356">
        <f t="shared" si="26"/>
        <v>14</v>
      </c>
      <c r="AV58" s="386">
        <f t="shared" si="27"/>
        <v>0</v>
      </c>
      <c r="AW58" s="358">
        <f t="shared" si="28"/>
        <v>0</v>
      </c>
      <c r="AX58" s="356">
        <f t="shared" si="29"/>
        <v>24.299999999999997</v>
      </c>
      <c r="AY58" s="387">
        <f t="shared" si="18"/>
        <v>0.36553524804177551</v>
      </c>
      <c r="AZ58" s="388">
        <f t="shared" si="19"/>
        <v>0.63446475195822449</v>
      </c>
      <c r="BA58" s="287">
        <v>1800014</v>
      </c>
      <c r="BB58" s="287">
        <f t="shared" si="17"/>
        <v>40223.776536312849</v>
      </c>
    </row>
    <row r="59" spans="1:54" ht="14.25" customHeight="1" thickBot="1" x14ac:dyDescent="0.3">
      <c r="A59" s="194" t="s">
        <v>841</v>
      </c>
      <c r="B59" s="219" t="s">
        <v>842</v>
      </c>
      <c r="C59" s="122" t="s">
        <v>126</v>
      </c>
      <c r="D59" s="123"/>
      <c r="E59" s="123"/>
      <c r="F59" s="123"/>
      <c r="G59" s="196" t="s">
        <v>609</v>
      </c>
      <c r="H59" s="196" t="s">
        <v>609</v>
      </c>
      <c r="I59" s="197"/>
      <c r="J59" s="197"/>
      <c r="K59" s="196" t="s">
        <v>318</v>
      </c>
      <c r="L59" s="212">
        <v>54.02</v>
      </c>
      <c r="M59" s="332">
        <v>10</v>
      </c>
      <c r="N59" s="199"/>
      <c r="O59" s="199"/>
      <c r="P59" s="199"/>
      <c r="Q59" s="200"/>
      <c r="R59" s="201">
        <v>2</v>
      </c>
      <c r="S59" s="202">
        <f t="shared" si="20"/>
        <v>12</v>
      </c>
      <c r="T59" s="199">
        <f>IF($C59="",0,VLOOKUP($C59,[5]Hoja1!$C$11:$D$27,2,FALSE)*M59)+IF($D59="",0,VLOOKUP($D59,[5]Hoja1!$C$11:$D$27,2,FALSE)*N59)+IF($F59="",0,VLOOKUP($F59,[5]Hoja1!$C$11:$D$27,2,FALSE)*P59)+IF(R59="",0,R59*0.5)-0.5</f>
        <v>3.5</v>
      </c>
      <c r="U59" s="199">
        <f>IF(G59="x",4,"")</f>
        <v>4</v>
      </c>
      <c r="V59" s="199">
        <v>4</v>
      </c>
      <c r="W59" s="204">
        <v>2.25</v>
      </c>
      <c r="X59" s="200"/>
      <c r="Y59" s="332">
        <v>20.47</v>
      </c>
      <c r="Z59" s="200"/>
      <c r="AA59" s="200"/>
      <c r="AB59" s="326">
        <v>1</v>
      </c>
      <c r="AC59" s="326">
        <v>2</v>
      </c>
      <c r="AD59" s="327">
        <v>0</v>
      </c>
      <c r="AE59" s="200"/>
      <c r="AF59" s="200"/>
      <c r="AG59" s="205"/>
      <c r="AH59" s="206">
        <f t="shared" si="21"/>
        <v>37.22</v>
      </c>
      <c r="AI59" s="213"/>
      <c r="AJ59" s="199">
        <v>7</v>
      </c>
      <c r="AK59" s="199"/>
      <c r="AL59" s="199"/>
      <c r="AM59" s="207"/>
      <c r="AN59" s="208">
        <f t="shared" si="22"/>
        <v>7</v>
      </c>
      <c r="AO59" s="214"/>
      <c r="AP59" s="214"/>
      <c r="AQ59" s="210">
        <f t="shared" si="23"/>
        <v>0</v>
      </c>
      <c r="AR59" s="211">
        <f t="shared" si="24"/>
        <v>56.22</v>
      </c>
      <c r="AS59" s="405">
        <f t="shared" si="25"/>
        <v>-2.1999999999999957</v>
      </c>
      <c r="AT59" s="355">
        <v>41.43333333333333</v>
      </c>
      <c r="AU59" s="356">
        <f t="shared" si="26"/>
        <v>8.6666666666666661</v>
      </c>
      <c r="AV59" s="386">
        <f t="shared" si="27"/>
        <v>4.666666666666667</v>
      </c>
      <c r="AW59" s="358">
        <f t="shared" si="28"/>
        <v>0</v>
      </c>
      <c r="AX59" s="356">
        <f t="shared" si="29"/>
        <v>28.099999999999998</v>
      </c>
      <c r="AY59" s="387">
        <f t="shared" si="18"/>
        <v>0.23572076155938348</v>
      </c>
      <c r="AZ59" s="388">
        <f t="shared" si="19"/>
        <v>0.76427923844061652</v>
      </c>
      <c r="BA59" s="287">
        <v>2074518</v>
      </c>
      <c r="BB59" s="287">
        <f t="shared" si="17"/>
        <v>38402.776749352088</v>
      </c>
    </row>
    <row r="60" spans="1:54" ht="14.25" customHeight="1" thickBot="1" x14ac:dyDescent="0.3">
      <c r="A60" s="194" t="s">
        <v>843</v>
      </c>
      <c r="B60" s="195" t="s">
        <v>844</v>
      </c>
      <c r="C60" s="122" t="s">
        <v>109</v>
      </c>
      <c r="D60" s="123"/>
      <c r="E60" s="123"/>
      <c r="F60" s="123"/>
      <c r="G60" s="196"/>
      <c r="H60" s="196"/>
      <c r="I60" s="197"/>
      <c r="J60" s="197"/>
      <c r="K60" s="196" t="s">
        <v>349</v>
      </c>
      <c r="L60" s="212">
        <v>38.25</v>
      </c>
      <c r="M60" s="199">
        <v>24</v>
      </c>
      <c r="N60" s="199"/>
      <c r="O60" s="199"/>
      <c r="P60" s="199"/>
      <c r="Q60" s="200"/>
      <c r="R60" s="201" t="str">
        <f>IF(G60="x",1,"")</f>
        <v/>
      </c>
      <c r="S60" s="202">
        <f t="shared" si="20"/>
        <v>24</v>
      </c>
      <c r="T60" s="199">
        <f>IF($C60="",0,VLOOKUP($C60,[5]Hoja1!$C$11:$D$27,2,FALSE)*M60)+IF($D60="",0,VLOOKUP($D60,[5]Hoja1!$C$11:$D$27,2,FALSE)*N60)+IF($F60="",0,VLOOKUP($F60,[5]Hoja1!$C$11:$D$27,2,FALSE)*P60)+IF(R60="",0,R60*0.5)</f>
        <v>12</v>
      </c>
      <c r="U60" s="199" t="str">
        <f>IF(G60="x",4,"")</f>
        <v/>
      </c>
      <c r="V60" s="199"/>
      <c r="W60" s="204">
        <v>2.25</v>
      </c>
      <c r="X60" s="200"/>
      <c r="Y60" s="200"/>
      <c r="Z60" s="200"/>
      <c r="AA60" s="200"/>
      <c r="AB60" s="326"/>
      <c r="AC60" s="326"/>
      <c r="AD60" s="327"/>
      <c r="AE60" s="200"/>
      <c r="AF60" s="200"/>
      <c r="AG60" s="205"/>
      <c r="AH60" s="206">
        <f t="shared" si="21"/>
        <v>14.25</v>
      </c>
      <c r="AI60" s="213"/>
      <c r="AJ60" s="199"/>
      <c r="AK60" s="199"/>
      <c r="AL60" s="199"/>
      <c r="AM60" s="207"/>
      <c r="AN60" s="208">
        <f t="shared" si="22"/>
        <v>0</v>
      </c>
      <c r="AO60" s="214"/>
      <c r="AP60" s="214"/>
      <c r="AQ60" s="210">
        <f t="shared" si="23"/>
        <v>0</v>
      </c>
      <c r="AR60" s="211">
        <f t="shared" si="24"/>
        <v>38.25</v>
      </c>
      <c r="AS60" s="405">
        <f t="shared" si="25"/>
        <v>0</v>
      </c>
      <c r="AT60" s="355">
        <v>27.4</v>
      </c>
      <c r="AU60" s="356">
        <f t="shared" si="26"/>
        <v>16</v>
      </c>
      <c r="AV60" s="386">
        <f t="shared" si="27"/>
        <v>0</v>
      </c>
      <c r="AW60" s="358">
        <f t="shared" si="28"/>
        <v>0</v>
      </c>
      <c r="AX60" s="356">
        <f t="shared" si="29"/>
        <v>11.399999999999999</v>
      </c>
      <c r="AY60" s="387">
        <f t="shared" si="18"/>
        <v>0.58394160583941612</v>
      </c>
      <c r="AZ60" s="388">
        <f t="shared" si="19"/>
        <v>0.41605839416058393</v>
      </c>
      <c r="BA60" s="287">
        <v>1530000</v>
      </c>
      <c r="BB60" s="287">
        <f t="shared" si="17"/>
        <v>40000</v>
      </c>
    </row>
    <row r="61" spans="1:54" ht="14.25" customHeight="1" thickBot="1" x14ac:dyDescent="0.3">
      <c r="A61" s="194" t="s">
        <v>845</v>
      </c>
      <c r="B61" s="195" t="s">
        <v>846</v>
      </c>
      <c r="C61" s="122" t="s">
        <v>126</v>
      </c>
      <c r="D61" s="123"/>
      <c r="E61" s="123"/>
      <c r="F61" s="123"/>
      <c r="G61" s="196" t="s">
        <v>609</v>
      </c>
      <c r="H61" s="196"/>
      <c r="I61" s="197"/>
      <c r="J61" s="197"/>
      <c r="K61" s="196" t="s">
        <v>429</v>
      </c>
      <c r="L61" s="212">
        <v>35.299999999999997</v>
      </c>
      <c r="M61" s="332">
        <v>12</v>
      </c>
      <c r="N61" s="199"/>
      <c r="O61" s="199"/>
      <c r="P61" s="199"/>
      <c r="Q61" s="200"/>
      <c r="R61" s="201">
        <v>2</v>
      </c>
      <c r="S61" s="202">
        <f t="shared" si="20"/>
        <v>14</v>
      </c>
      <c r="T61" s="199">
        <f>IF($C61="",0,VLOOKUP($C61,[5]Hoja1!$C$11:$D$27,2,FALSE)*M61)+IF($D61="",0,VLOOKUP($D61,[5]Hoja1!$C$11:$D$27,2,FALSE)*N61)+IF($F61="",0,VLOOKUP($F61,[5]Hoja1!$C$11:$D$27,2,FALSE)*P61)+IF(R61="",0,R61*0.5)-0.5</f>
        <v>4.0999999999999996</v>
      </c>
      <c r="U61" s="199">
        <f>IF(G61="x",4,"")</f>
        <v>4</v>
      </c>
      <c r="V61" s="199">
        <v>4</v>
      </c>
      <c r="W61" s="204">
        <v>2.25</v>
      </c>
      <c r="X61" s="200"/>
      <c r="Y61" s="332">
        <v>2.93</v>
      </c>
      <c r="Z61" s="200"/>
      <c r="AA61" s="200"/>
      <c r="AB61" s="326">
        <v>2</v>
      </c>
      <c r="AC61" s="326">
        <v>1</v>
      </c>
      <c r="AD61" s="327">
        <v>1</v>
      </c>
      <c r="AE61" s="200"/>
      <c r="AF61" s="200"/>
      <c r="AG61" s="205"/>
      <c r="AH61" s="206">
        <f t="shared" si="21"/>
        <v>21.28</v>
      </c>
      <c r="AI61" s="213"/>
      <c r="AJ61" s="199"/>
      <c r="AK61" s="199"/>
      <c r="AL61" s="199"/>
      <c r="AM61" s="207"/>
      <c r="AN61" s="208">
        <f t="shared" si="22"/>
        <v>0</v>
      </c>
      <c r="AO61" s="214"/>
      <c r="AP61" s="214"/>
      <c r="AQ61" s="210">
        <f t="shared" si="23"/>
        <v>0</v>
      </c>
      <c r="AR61" s="211">
        <f t="shared" si="24"/>
        <v>35.28</v>
      </c>
      <c r="AS61" s="405">
        <f t="shared" si="25"/>
        <v>1.9999999999996021E-2</v>
      </c>
      <c r="AT61" s="355">
        <v>25.236666666666668</v>
      </c>
      <c r="AU61" s="356">
        <f t="shared" si="26"/>
        <v>10.666666666666666</v>
      </c>
      <c r="AV61" s="386">
        <f t="shared" si="27"/>
        <v>0</v>
      </c>
      <c r="AW61" s="358">
        <f t="shared" si="28"/>
        <v>0</v>
      </c>
      <c r="AX61" s="356">
        <f t="shared" si="29"/>
        <v>14.570000000000002</v>
      </c>
      <c r="AY61" s="387">
        <f t="shared" si="18"/>
        <v>0.42266543389248445</v>
      </c>
      <c r="AZ61" s="388">
        <f t="shared" si="19"/>
        <v>0.57733456610751555</v>
      </c>
      <c r="BA61" s="287">
        <v>1573249</v>
      </c>
      <c r="BB61" s="287">
        <f t="shared" si="17"/>
        <v>44567.960339943347</v>
      </c>
    </row>
    <row r="62" spans="1:54" ht="14.25" customHeight="1" thickBot="1" x14ac:dyDescent="0.3">
      <c r="A62" s="194" t="s">
        <v>871</v>
      </c>
      <c r="B62" s="195" t="s">
        <v>872</v>
      </c>
      <c r="C62" s="122" t="s">
        <v>114</v>
      </c>
      <c r="D62" s="123" t="s">
        <v>98</v>
      </c>
      <c r="E62" s="123"/>
      <c r="F62" s="123"/>
      <c r="G62" s="196" t="s">
        <v>609</v>
      </c>
      <c r="H62" s="196"/>
      <c r="I62" s="197"/>
      <c r="J62" s="197"/>
      <c r="K62" s="196"/>
      <c r="L62" s="212">
        <v>40</v>
      </c>
      <c r="M62" s="199">
        <v>9</v>
      </c>
      <c r="N62" s="199">
        <v>4</v>
      </c>
      <c r="O62" s="199"/>
      <c r="P62" s="199"/>
      <c r="Q62" s="200">
        <v>12</v>
      </c>
      <c r="R62" s="201">
        <v>1.25</v>
      </c>
      <c r="S62" s="202">
        <f t="shared" si="20"/>
        <v>26.25</v>
      </c>
      <c r="T62" s="199">
        <f>4.5+2</f>
        <v>6.5</v>
      </c>
      <c r="U62" s="199">
        <v>5</v>
      </c>
      <c r="V62" s="199"/>
      <c r="W62" s="204">
        <v>2.25</v>
      </c>
      <c r="X62" s="200"/>
      <c r="Y62" s="200"/>
      <c r="Z62" s="200"/>
      <c r="AA62" s="200"/>
      <c r="AB62" s="326"/>
      <c r="AC62" s="326"/>
      <c r="AD62" s="327"/>
      <c r="AE62" s="200"/>
      <c r="AF62" s="200"/>
      <c r="AG62" s="205"/>
      <c r="AH62" s="206">
        <f t="shared" si="21"/>
        <v>13.75</v>
      </c>
      <c r="AI62" s="213"/>
      <c r="AJ62" s="199"/>
      <c r="AK62" s="199"/>
      <c r="AL62" s="199"/>
      <c r="AM62" s="207"/>
      <c r="AN62" s="208">
        <f t="shared" si="22"/>
        <v>0</v>
      </c>
      <c r="AO62" s="214"/>
      <c r="AP62" s="214"/>
      <c r="AQ62" s="210">
        <f t="shared" si="23"/>
        <v>0</v>
      </c>
      <c r="AR62" s="211">
        <f t="shared" si="24"/>
        <v>40</v>
      </c>
      <c r="AS62" s="405">
        <f t="shared" si="25"/>
        <v>0</v>
      </c>
      <c r="AT62" s="355">
        <v>28.266666666666666</v>
      </c>
      <c r="AU62" s="356">
        <f t="shared" si="26"/>
        <v>17.5</v>
      </c>
      <c r="AV62" s="386">
        <f t="shared" si="27"/>
        <v>0</v>
      </c>
      <c r="AW62" s="358">
        <f t="shared" si="28"/>
        <v>0</v>
      </c>
      <c r="AX62" s="356">
        <f t="shared" si="29"/>
        <v>10.766666666666666</v>
      </c>
      <c r="AY62" s="387">
        <f t="shared" si="18"/>
        <v>0.61910377358490565</v>
      </c>
      <c r="AZ62" s="388">
        <f t="shared" si="19"/>
        <v>0.3808962264150943</v>
      </c>
      <c r="BA62" s="287">
        <v>1216002</v>
      </c>
      <c r="BB62" s="287">
        <f t="shared" si="17"/>
        <v>30400.05</v>
      </c>
    </row>
    <row r="63" spans="1:54" ht="14.25" customHeight="1" thickBot="1" x14ac:dyDescent="0.3">
      <c r="A63" s="194" t="s">
        <v>850</v>
      </c>
      <c r="B63" s="195" t="s">
        <v>851</v>
      </c>
      <c r="C63" s="122" t="s">
        <v>99</v>
      </c>
      <c r="D63" s="123"/>
      <c r="E63" s="123"/>
      <c r="F63" s="123"/>
      <c r="G63" s="196" t="s">
        <v>609</v>
      </c>
      <c r="H63" s="196" t="s">
        <v>609</v>
      </c>
      <c r="I63" s="197"/>
      <c r="J63" s="197"/>
      <c r="K63" s="196" t="s">
        <v>349</v>
      </c>
      <c r="L63" s="212">
        <v>34.75</v>
      </c>
      <c r="M63" s="199">
        <v>9</v>
      </c>
      <c r="N63" s="199"/>
      <c r="O63" s="199"/>
      <c r="P63" s="199"/>
      <c r="Q63" s="200"/>
      <c r="R63" s="201">
        <v>1</v>
      </c>
      <c r="S63" s="202">
        <f t="shared" si="20"/>
        <v>10</v>
      </c>
      <c r="T63" s="199">
        <f>IF($C63="",0,VLOOKUP($C63,[5]Hoja1!$C$11:$D$27,2,FALSE)*M63)+IF($D63="",0,VLOOKUP($D63,[5]Hoja1!$C$11:$D$27,2,FALSE)*N63)+IF($F63="",0,VLOOKUP($F63,[5]Hoja1!$C$11:$D$27,2,FALSE)*P63)+IF(R63="",0,R63*0.5)</f>
        <v>3.1999999999999997</v>
      </c>
      <c r="U63" s="199">
        <f t="shared" ref="U63:U68" si="31">IF(G63="x",4,"")</f>
        <v>4</v>
      </c>
      <c r="V63" s="199">
        <v>4</v>
      </c>
      <c r="W63" s="204">
        <v>2.25</v>
      </c>
      <c r="X63" s="200"/>
      <c r="Y63" s="200"/>
      <c r="Z63" s="200"/>
      <c r="AA63" s="200"/>
      <c r="AB63" s="326">
        <v>2</v>
      </c>
      <c r="AC63" s="326">
        <v>1</v>
      </c>
      <c r="AD63" s="327">
        <v>0.3</v>
      </c>
      <c r="AE63" s="200"/>
      <c r="AF63" s="200"/>
      <c r="AG63" s="205"/>
      <c r="AH63" s="206">
        <f t="shared" si="21"/>
        <v>16.75</v>
      </c>
      <c r="AI63" s="213"/>
      <c r="AJ63" s="199">
        <v>8</v>
      </c>
      <c r="AK63" s="199"/>
      <c r="AL63" s="199"/>
      <c r="AM63" s="207"/>
      <c r="AN63" s="208">
        <f t="shared" si="22"/>
        <v>8</v>
      </c>
      <c r="AO63" s="214"/>
      <c r="AP63" s="214"/>
      <c r="AQ63" s="210">
        <f t="shared" si="23"/>
        <v>0</v>
      </c>
      <c r="AR63" s="211">
        <f t="shared" si="24"/>
        <v>34.75</v>
      </c>
      <c r="AS63" s="405">
        <f t="shared" si="25"/>
        <v>0</v>
      </c>
      <c r="AT63" s="355">
        <v>28.083333333333332</v>
      </c>
      <c r="AU63" s="356">
        <f t="shared" si="26"/>
        <v>8</v>
      </c>
      <c r="AV63" s="386">
        <f t="shared" si="27"/>
        <v>5.333333333333333</v>
      </c>
      <c r="AW63" s="358">
        <f t="shared" si="28"/>
        <v>0</v>
      </c>
      <c r="AX63" s="356">
        <f t="shared" si="29"/>
        <v>14.75</v>
      </c>
      <c r="AY63" s="387">
        <f t="shared" si="18"/>
        <v>0.35164835164835168</v>
      </c>
      <c r="AZ63" s="388">
        <f t="shared" si="19"/>
        <v>0.64835164835164838</v>
      </c>
      <c r="BA63" s="287">
        <v>1649838</v>
      </c>
      <c r="BB63" s="287">
        <f t="shared" si="17"/>
        <v>47477.352517985615</v>
      </c>
    </row>
    <row r="64" spans="1:54" ht="14.25" customHeight="1" thickBot="1" x14ac:dyDescent="0.3">
      <c r="A64" s="194" t="s">
        <v>852</v>
      </c>
      <c r="B64" s="195" t="s">
        <v>853</v>
      </c>
      <c r="C64" s="122" t="s">
        <v>126</v>
      </c>
      <c r="D64" s="123"/>
      <c r="E64" s="123"/>
      <c r="F64" s="123"/>
      <c r="G64" s="196" t="s">
        <v>609</v>
      </c>
      <c r="H64" s="196"/>
      <c r="I64" s="197"/>
      <c r="J64" s="197"/>
      <c r="K64" s="196" t="s">
        <v>429</v>
      </c>
      <c r="L64" s="212">
        <v>45.03</v>
      </c>
      <c r="M64" s="332">
        <v>19.5</v>
      </c>
      <c r="N64" s="199"/>
      <c r="O64" s="199"/>
      <c r="P64" s="199"/>
      <c r="Q64" s="200"/>
      <c r="R64" s="201">
        <v>2</v>
      </c>
      <c r="S64" s="202">
        <f t="shared" si="20"/>
        <v>21.5</v>
      </c>
      <c r="T64" s="199">
        <f>IF($C64="",0,VLOOKUP($C64,[5]Hoja1!$C$11:$D$27,2,FALSE)*M64)+IF($D64="",0,VLOOKUP($D64,[5]Hoja1!$C$11:$D$27,2,FALSE)*N64)+IF($F64="",0,VLOOKUP($F64,[5]Hoja1!$C$11:$D$27,2,FALSE)*P64)+IF(R64="",0,R64*0.5)-0.5</f>
        <v>6.35</v>
      </c>
      <c r="U64" s="199">
        <f t="shared" si="31"/>
        <v>4</v>
      </c>
      <c r="V64" s="199">
        <v>4</v>
      </c>
      <c r="W64" s="204">
        <v>2.25</v>
      </c>
      <c r="X64" s="200"/>
      <c r="Y64" s="332">
        <v>2.93</v>
      </c>
      <c r="Z64" s="200"/>
      <c r="AA64" s="200"/>
      <c r="AB64" s="326">
        <v>2</v>
      </c>
      <c r="AC64" s="326">
        <v>1</v>
      </c>
      <c r="AD64" s="327">
        <v>1</v>
      </c>
      <c r="AE64" s="200"/>
      <c r="AF64" s="200"/>
      <c r="AG64" s="205"/>
      <c r="AH64" s="206">
        <f t="shared" si="21"/>
        <v>23.53</v>
      </c>
      <c r="AI64" s="213"/>
      <c r="AJ64" s="199"/>
      <c r="AK64" s="199"/>
      <c r="AL64" s="199"/>
      <c r="AM64" s="207"/>
      <c r="AN64" s="208">
        <f t="shared" si="22"/>
        <v>0</v>
      </c>
      <c r="AO64" s="214"/>
      <c r="AP64" s="214"/>
      <c r="AQ64" s="210">
        <f t="shared" si="23"/>
        <v>0</v>
      </c>
      <c r="AR64" s="211">
        <f t="shared" si="24"/>
        <v>45.03</v>
      </c>
      <c r="AS64" s="405">
        <f t="shared" si="25"/>
        <v>0</v>
      </c>
      <c r="AT64" s="355">
        <v>34.325000000000003</v>
      </c>
      <c r="AU64" s="356">
        <f t="shared" si="26"/>
        <v>15.666666666666666</v>
      </c>
      <c r="AV64" s="386">
        <f t="shared" si="27"/>
        <v>0</v>
      </c>
      <c r="AW64" s="358">
        <f t="shared" si="28"/>
        <v>0</v>
      </c>
      <c r="AX64" s="356">
        <f t="shared" si="29"/>
        <v>18.658333333333339</v>
      </c>
      <c r="AY64" s="387">
        <f t="shared" si="18"/>
        <v>0.4564214615197863</v>
      </c>
      <c r="AZ64" s="388">
        <f t="shared" si="19"/>
        <v>0.54357853848021376</v>
      </c>
      <c r="BA64" s="287">
        <v>1969405</v>
      </c>
      <c r="BB64" s="287">
        <f t="shared" si="17"/>
        <v>43735.398623140129</v>
      </c>
    </row>
    <row r="65" spans="1:54" ht="14.25" customHeight="1" thickBot="1" x14ac:dyDescent="0.3">
      <c r="A65" s="194" t="s">
        <v>854</v>
      </c>
      <c r="B65" s="195" t="s">
        <v>855</v>
      </c>
      <c r="C65" s="122" t="s">
        <v>61</v>
      </c>
      <c r="D65" s="123"/>
      <c r="E65" s="123"/>
      <c r="F65" s="123"/>
      <c r="G65" s="196"/>
      <c r="H65" s="196"/>
      <c r="I65" s="197"/>
      <c r="J65" s="197"/>
      <c r="K65" s="196" t="s">
        <v>349</v>
      </c>
      <c r="L65" s="212">
        <v>8.25</v>
      </c>
      <c r="M65" s="199">
        <v>4</v>
      </c>
      <c r="N65" s="199"/>
      <c r="O65" s="199"/>
      <c r="P65" s="199"/>
      <c r="Q65" s="200"/>
      <c r="R65" s="201" t="str">
        <f>IF(G65="x",1,"")</f>
        <v/>
      </c>
      <c r="S65" s="202">
        <f t="shared" si="20"/>
        <v>4</v>
      </c>
      <c r="T65" s="199">
        <f>IF($C65="",0,VLOOKUP($C65,[5]Hoja1!$C$11:$D$27,2,FALSE)*M65)+IF($D65="",0,VLOOKUP($D65,[5]Hoja1!$C$11:$D$27,2,FALSE)*N65)+IF($F65="",0,VLOOKUP($F65,[5]Hoja1!$C$11:$D$27,2,FALSE)*P65)+IF(R65="",0,R65*0.5)</f>
        <v>2</v>
      </c>
      <c r="U65" s="199" t="str">
        <f t="shared" si="31"/>
        <v/>
      </c>
      <c r="V65" s="199"/>
      <c r="W65" s="204">
        <v>2.25</v>
      </c>
      <c r="X65" s="200"/>
      <c r="Y65" s="200"/>
      <c r="Z65" s="200"/>
      <c r="AA65" s="200"/>
      <c r="AB65" s="326"/>
      <c r="AC65" s="326"/>
      <c r="AD65" s="327"/>
      <c r="AE65" s="200"/>
      <c r="AF65" s="200"/>
      <c r="AG65" s="205"/>
      <c r="AH65" s="206">
        <f t="shared" si="21"/>
        <v>4.25</v>
      </c>
      <c r="AI65" s="213"/>
      <c r="AJ65" s="199"/>
      <c r="AK65" s="199"/>
      <c r="AL65" s="199"/>
      <c r="AM65" s="207"/>
      <c r="AN65" s="208">
        <f t="shared" si="22"/>
        <v>0</v>
      </c>
      <c r="AO65" s="214"/>
      <c r="AP65" s="214"/>
      <c r="AQ65" s="210">
        <f t="shared" si="23"/>
        <v>0</v>
      </c>
      <c r="AR65" s="211">
        <f t="shared" si="24"/>
        <v>8.25</v>
      </c>
      <c r="AS65" s="405">
        <f t="shared" si="25"/>
        <v>0</v>
      </c>
      <c r="AT65" s="355">
        <v>5.0666666666666664</v>
      </c>
      <c r="AU65" s="356">
        <f t="shared" si="26"/>
        <v>2.6666666666666665</v>
      </c>
      <c r="AV65" s="386">
        <f t="shared" si="27"/>
        <v>0</v>
      </c>
      <c r="AW65" s="358">
        <f t="shared" si="28"/>
        <v>0</v>
      </c>
      <c r="AX65" s="356">
        <f t="shared" si="29"/>
        <v>2.4</v>
      </c>
      <c r="AY65" s="387">
        <f t="shared" si="18"/>
        <v>0.52631578947368418</v>
      </c>
      <c r="AZ65" s="388">
        <f t="shared" si="19"/>
        <v>0.47368421052631582</v>
      </c>
      <c r="BA65" s="287">
        <v>346500</v>
      </c>
      <c r="BB65" s="287">
        <f t="shared" si="17"/>
        <v>42000</v>
      </c>
    </row>
    <row r="66" spans="1:54" ht="14.25" customHeight="1" thickBot="1" x14ac:dyDescent="0.3">
      <c r="A66" s="194" t="s">
        <v>856</v>
      </c>
      <c r="B66" s="195" t="s">
        <v>857</v>
      </c>
      <c r="C66" s="122" t="s">
        <v>55</v>
      </c>
      <c r="D66" s="123" t="s">
        <v>74</v>
      </c>
      <c r="E66" s="123"/>
      <c r="F66" s="123"/>
      <c r="G66" s="196"/>
      <c r="H66" s="196"/>
      <c r="I66" s="197"/>
      <c r="J66" s="197"/>
      <c r="K66" s="196" t="s">
        <v>349</v>
      </c>
      <c r="L66" s="212">
        <v>30.45</v>
      </c>
      <c r="M66" s="199">
        <v>12</v>
      </c>
      <c r="N66" s="199">
        <v>6</v>
      </c>
      <c r="O66" s="199"/>
      <c r="P66" s="199"/>
      <c r="Q66" s="200"/>
      <c r="R66" s="201" t="str">
        <f>IF(G66="x",1,"")</f>
        <v/>
      </c>
      <c r="S66" s="202">
        <f t="shared" si="20"/>
        <v>18</v>
      </c>
      <c r="T66" s="199">
        <f>7.2+3</f>
        <v>10.199999999999999</v>
      </c>
      <c r="U66" s="199" t="str">
        <f t="shared" si="31"/>
        <v/>
      </c>
      <c r="V66" s="199"/>
      <c r="W66" s="204">
        <v>2.25</v>
      </c>
      <c r="X66" s="200"/>
      <c r="Y66" s="200"/>
      <c r="Z66" s="200"/>
      <c r="AA66" s="200"/>
      <c r="AB66" s="326"/>
      <c r="AC66" s="326"/>
      <c r="AD66" s="327"/>
      <c r="AE66" s="200"/>
      <c r="AF66" s="200"/>
      <c r="AG66" s="205"/>
      <c r="AH66" s="206">
        <f t="shared" si="21"/>
        <v>12.45</v>
      </c>
      <c r="AI66" s="213"/>
      <c r="AJ66" s="199"/>
      <c r="AK66" s="199"/>
      <c r="AL66" s="199"/>
      <c r="AM66" s="207"/>
      <c r="AN66" s="208">
        <f t="shared" si="22"/>
        <v>0</v>
      </c>
      <c r="AO66" s="214"/>
      <c r="AP66" s="214"/>
      <c r="AQ66" s="210">
        <f t="shared" si="23"/>
        <v>0</v>
      </c>
      <c r="AR66" s="211">
        <f t="shared" si="24"/>
        <v>30.45</v>
      </c>
      <c r="AS66" s="405">
        <f t="shared" si="25"/>
        <v>0</v>
      </c>
      <c r="AT66" s="355">
        <v>27.3</v>
      </c>
      <c r="AU66" s="356">
        <f t="shared" si="26"/>
        <v>12</v>
      </c>
      <c r="AV66" s="386">
        <f t="shared" si="27"/>
        <v>0</v>
      </c>
      <c r="AW66" s="358">
        <f t="shared" si="28"/>
        <v>0</v>
      </c>
      <c r="AX66" s="356">
        <f t="shared" si="29"/>
        <v>15.3</v>
      </c>
      <c r="AY66" s="387">
        <f t="shared" si="18"/>
        <v>0.43956043956043955</v>
      </c>
      <c r="AZ66" s="388">
        <f t="shared" si="19"/>
        <v>0.56043956043956045</v>
      </c>
      <c r="BA66" s="287">
        <v>1235150</v>
      </c>
      <c r="BB66" s="287">
        <f t="shared" si="17"/>
        <v>40563.218390804599</v>
      </c>
    </row>
    <row r="67" spans="1:54" ht="14.25" customHeight="1" thickBot="1" x14ac:dyDescent="0.3">
      <c r="A67" s="194" t="s">
        <v>858</v>
      </c>
      <c r="B67" s="195" t="s">
        <v>859</v>
      </c>
      <c r="C67" s="122" t="s">
        <v>80</v>
      </c>
      <c r="D67" s="123"/>
      <c r="E67" s="123"/>
      <c r="F67" s="123"/>
      <c r="G67" s="196"/>
      <c r="H67" s="196"/>
      <c r="I67" s="197"/>
      <c r="J67" s="197"/>
      <c r="K67" s="196" t="s">
        <v>762</v>
      </c>
      <c r="L67" s="212">
        <v>47</v>
      </c>
      <c r="M67" s="199">
        <v>38.5</v>
      </c>
      <c r="N67" s="199"/>
      <c r="O67" s="199"/>
      <c r="P67" s="199"/>
      <c r="Q67" s="200"/>
      <c r="R67" s="201" t="str">
        <f>IF(G67="x",1,"")</f>
        <v/>
      </c>
      <c r="S67" s="202">
        <f t="shared" si="20"/>
        <v>38.5</v>
      </c>
      <c r="T67" s="199">
        <v>5.25</v>
      </c>
      <c r="U67" s="199" t="str">
        <f t="shared" si="31"/>
        <v/>
      </c>
      <c r="V67" s="199"/>
      <c r="W67" s="204">
        <v>2.25</v>
      </c>
      <c r="X67" s="200"/>
      <c r="Y67" s="200"/>
      <c r="Z67" s="200"/>
      <c r="AA67" s="200"/>
      <c r="AB67" s="326"/>
      <c r="AC67" s="326"/>
      <c r="AD67" s="327"/>
      <c r="AE67" s="200"/>
      <c r="AF67" s="200">
        <v>2</v>
      </c>
      <c r="AG67" s="205" t="s">
        <v>763</v>
      </c>
      <c r="AH67" s="206">
        <f t="shared" si="21"/>
        <v>9.5</v>
      </c>
      <c r="AI67" s="213"/>
      <c r="AJ67" s="199"/>
      <c r="AK67" s="199"/>
      <c r="AL67" s="199"/>
      <c r="AM67" s="207"/>
      <c r="AN67" s="208">
        <f t="shared" si="22"/>
        <v>0</v>
      </c>
      <c r="AO67" s="214"/>
      <c r="AP67" s="214"/>
      <c r="AQ67" s="210">
        <f t="shared" si="23"/>
        <v>0</v>
      </c>
      <c r="AR67" s="211">
        <f t="shared" si="24"/>
        <v>48</v>
      </c>
      <c r="AS67" s="405">
        <f t="shared" si="25"/>
        <v>-1</v>
      </c>
      <c r="AT67" s="355">
        <v>33.633333333333333</v>
      </c>
      <c r="AU67" s="356">
        <f t="shared" si="26"/>
        <v>25.666666666666668</v>
      </c>
      <c r="AV67" s="386">
        <f t="shared" si="27"/>
        <v>0</v>
      </c>
      <c r="AW67" s="358">
        <f t="shared" si="28"/>
        <v>0</v>
      </c>
      <c r="AX67" s="356">
        <f t="shared" si="29"/>
        <v>7.966666666666665</v>
      </c>
      <c r="AY67" s="409">
        <f t="shared" ref="AY67:AY94" si="32">+AU67/(AU67+AX67)</f>
        <v>0.76313181367690786</v>
      </c>
      <c r="AZ67" s="410">
        <f t="shared" ref="AZ67:AZ94" si="33">+AX67/(AU67+AX67)</f>
        <v>0.23686818632309212</v>
      </c>
      <c r="BA67" s="287">
        <v>1440000</v>
      </c>
      <c r="BB67" s="287">
        <f t="shared" si="17"/>
        <v>30638.297872340427</v>
      </c>
    </row>
    <row r="68" spans="1:54" ht="14.25" customHeight="1" thickBot="1" x14ac:dyDescent="0.3">
      <c r="A68" s="194" t="s">
        <v>860</v>
      </c>
      <c r="B68" s="195" t="s">
        <v>861</v>
      </c>
      <c r="C68" s="122" t="s">
        <v>109</v>
      </c>
      <c r="D68" s="123"/>
      <c r="E68" s="123"/>
      <c r="F68" s="123"/>
      <c r="G68" s="196" t="s">
        <v>609</v>
      </c>
      <c r="H68" s="196" t="s">
        <v>609</v>
      </c>
      <c r="I68" s="197"/>
      <c r="J68" s="197"/>
      <c r="K68" s="196" t="s">
        <v>349</v>
      </c>
      <c r="L68" s="212">
        <v>53.25</v>
      </c>
      <c r="M68" s="199">
        <v>19</v>
      </c>
      <c r="N68" s="199"/>
      <c r="O68" s="199"/>
      <c r="P68" s="199"/>
      <c r="Q68" s="200"/>
      <c r="R68" s="201">
        <v>1</v>
      </c>
      <c r="S68" s="202">
        <f t="shared" ref="S68:S94" si="34">SUM(M68:R68)</f>
        <v>20</v>
      </c>
      <c r="T68" s="199">
        <f>IF($C68="",0,VLOOKUP($C68,[5]Hoja1!$C$11:$D$27,2,FALSE)*M68)+IF($D68="",0,VLOOKUP($D68,[5]Hoja1!$C$11:$D$27,2,FALSE)*N68)+IF($F68="",0,VLOOKUP($F68,[5]Hoja1!$C$11:$D$27,2,FALSE)*P68)+IF(R68="",0,R68*0.5)</f>
        <v>10</v>
      </c>
      <c r="U68" s="199">
        <f t="shared" si="31"/>
        <v>4</v>
      </c>
      <c r="V68" s="199">
        <v>4</v>
      </c>
      <c r="W68" s="204">
        <v>2.25</v>
      </c>
      <c r="X68" s="200"/>
      <c r="Y68" s="200"/>
      <c r="Z68" s="200"/>
      <c r="AA68" s="200"/>
      <c r="AB68" s="326">
        <v>1</v>
      </c>
      <c r="AC68" s="326"/>
      <c r="AD68" s="327"/>
      <c r="AE68" s="200"/>
      <c r="AF68" s="200"/>
      <c r="AG68" s="205"/>
      <c r="AH68" s="206">
        <f t="shared" ref="AH68:AH94" si="35">SUM(T68:AF68)</f>
        <v>21.25</v>
      </c>
      <c r="AI68" s="213"/>
      <c r="AJ68" s="199">
        <v>12</v>
      </c>
      <c r="AK68" s="199"/>
      <c r="AL68" s="199"/>
      <c r="AM68" s="207"/>
      <c r="AN68" s="208">
        <f t="shared" ref="AN68:AN94" si="36">SUM(AI68:AL68)</f>
        <v>12</v>
      </c>
      <c r="AO68" s="214"/>
      <c r="AP68" s="214"/>
      <c r="AQ68" s="210">
        <f t="shared" ref="AQ68:AQ94" si="37">SUM(AO68:AO68)</f>
        <v>0</v>
      </c>
      <c r="AR68" s="211">
        <f t="shared" ref="AR68:AR94" si="38">+S68+AH68+AN68+AQ68</f>
        <v>53.25</v>
      </c>
      <c r="AS68" s="405">
        <f t="shared" ref="AS68:AS94" si="39">+L68-AR68</f>
        <v>0</v>
      </c>
      <c r="AT68" s="355">
        <v>38.4</v>
      </c>
      <c r="AU68" s="356">
        <f t="shared" ref="AU68:AU94" si="40">+(S68+AB68)*40/60</f>
        <v>14</v>
      </c>
      <c r="AV68" s="386">
        <f t="shared" ref="AV68:AV94" si="41">+AN68*40/60</f>
        <v>8</v>
      </c>
      <c r="AW68" s="358">
        <f t="shared" ref="AW68:AW94" si="42">+AQ68*0.666666666666667</f>
        <v>0</v>
      </c>
      <c r="AX68" s="356">
        <f t="shared" ref="AX68:AX94" si="43">+AT68-AU68-AV68-AW68</f>
        <v>16.399999999999999</v>
      </c>
      <c r="AY68" s="387">
        <f t="shared" si="32"/>
        <v>0.46052631578947373</v>
      </c>
      <c r="AZ68" s="388">
        <f t="shared" si="33"/>
        <v>0.53947368421052633</v>
      </c>
      <c r="BA68" s="287">
        <v>2770615</v>
      </c>
      <c r="BB68" s="287">
        <f t="shared" si="17"/>
        <v>52030.328638497653</v>
      </c>
    </row>
    <row r="69" spans="1:54" ht="14.25" customHeight="1" thickBot="1" x14ac:dyDescent="0.3">
      <c r="A69" s="194" t="s">
        <v>906</v>
      </c>
      <c r="B69" s="195" t="s">
        <v>907</v>
      </c>
      <c r="C69" s="122" t="s">
        <v>114</v>
      </c>
      <c r="D69" s="123"/>
      <c r="E69" s="123"/>
      <c r="F69" s="123"/>
      <c r="G69" s="196" t="s">
        <v>609</v>
      </c>
      <c r="H69" s="196"/>
      <c r="I69" s="197"/>
      <c r="J69" s="197"/>
      <c r="K69" s="196"/>
      <c r="L69" s="212">
        <v>34</v>
      </c>
      <c r="M69" s="199">
        <v>9</v>
      </c>
      <c r="N69" s="199"/>
      <c r="O69" s="199"/>
      <c r="P69" s="199"/>
      <c r="Q69" s="200">
        <v>12</v>
      </c>
      <c r="R69" s="201">
        <v>1.25</v>
      </c>
      <c r="S69" s="202">
        <f t="shared" si="34"/>
        <v>22.25</v>
      </c>
      <c r="T69" s="199">
        <v>4.5</v>
      </c>
      <c r="U69" s="199">
        <v>5</v>
      </c>
      <c r="V69" s="199"/>
      <c r="W69" s="204">
        <v>2.25</v>
      </c>
      <c r="X69" s="200"/>
      <c r="Y69" s="200"/>
      <c r="Z69" s="200"/>
      <c r="AA69" s="200"/>
      <c r="AB69" s="326"/>
      <c r="AC69" s="326"/>
      <c r="AD69" s="327"/>
      <c r="AE69" s="200"/>
      <c r="AF69" s="200"/>
      <c r="AG69" s="205"/>
      <c r="AH69" s="206">
        <f t="shared" si="35"/>
        <v>11.75</v>
      </c>
      <c r="AI69" s="213"/>
      <c r="AJ69" s="199"/>
      <c r="AK69" s="199"/>
      <c r="AL69" s="199"/>
      <c r="AM69" s="207"/>
      <c r="AN69" s="208">
        <f t="shared" si="36"/>
        <v>0</v>
      </c>
      <c r="AO69" s="214"/>
      <c r="AP69" s="214"/>
      <c r="AQ69" s="210">
        <f t="shared" si="37"/>
        <v>0</v>
      </c>
      <c r="AR69" s="211">
        <f t="shared" si="38"/>
        <v>34</v>
      </c>
      <c r="AS69" s="405">
        <f t="shared" si="39"/>
        <v>0</v>
      </c>
      <c r="AT69" s="355">
        <v>24.15</v>
      </c>
      <c r="AU69" s="356">
        <f t="shared" si="40"/>
        <v>14.833333333333334</v>
      </c>
      <c r="AV69" s="386">
        <f t="shared" si="41"/>
        <v>0</v>
      </c>
      <c r="AW69" s="358">
        <f t="shared" si="42"/>
        <v>0</v>
      </c>
      <c r="AX69" s="356">
        <f t="shared" si="43"/>
        <v>9.3166666666666647</v>
      </c>
      <c r="AY69" s="387">
        <f t="shared" si="32"/>
        <v>0.61421670117322302</v>
      </c>
      <c r="AZ69" s="388">
        <f t="shared" si="33"/>
        <v>0.38578329882677703</v>
      </c>
      <c r="BA69" s="287">
        <v>1115200</v>
      </c>
      <c r="BB69" s="287">
        <f t="shared" si="17"/>
        <v>32800</v>
      </c>
    </row>
    <row r="70" spans="1:54" ht="15.75" thickBot="1" x14ac:dyDescent="0.3">
      <c r="A70" s="194" t="s">
        <v>713</v>
      </c>
      <c r="B70" s="195" t="s">
        <v>714</v>
      </c>
      <c r="C70" s="122" t="s">
        <v>114</v>
      </c>
      <c r="D70" s="123"/>
      <c r="E70" s="123"/>
      <c r="F70" s="123"/>
      <c r="G70" s="196" t="s">
        <v>609</v>
      </c>
      <c r="H70" s="196"/>
      <c r="I70" s="197"/>
      <c r="J70" s="197"/>
      <c r="K70" s="196"/>
      <c r="L70" s="212">
        <v>49</v>
      </c>
      <c r="M70" s="199">
        <v>17</v>
      </c>
      <c r="N70" s="199"/>
      <c r="O70" s="199"/>
      <c r="P70" s="199"/>
      <c r="Q70" s="200">
        <v>14</v>
      </c>
      <c r="R70" s="201">
        <f>IF(G70="x",1,"")</f>
        <v>1</v>
      </c>
      <c r="S70" s="202">
        <f t="shared" si="34"/>
        <v>32</v>
      </c>
      <c r="T70" s="333">
        <v>8.5</v>
      </c>
      <c r="U70" s="199">
        <v>5</v>
      </c>
      <c r="V70" s="203"/>
      <c r="W70" s="204">
        <v>2.25</v>
      </c>
      <c r="X70" s="200"/>
      <c r="Y70" s="200"/>
      <c r="Z70" s="200"/>
      <c r="AA70" s="200"/>
      <c r="AB70" s="326"/>
      <c r="AC70" s="326">
        <v>1</v>
      </c>
      <c r="AD70" s="326">
        <v>0.25</v>
      </c>
      <c r="AE70" s="200"/>
      <c r="AF70" s="200"/>
      <c r="AG70" s="205"/>
      <c r="AH70" s="206">
        <f t="shared" si="35"/>
        <v>17</v>
      </c>
      <c r="AI70" s="213"/>
      <c r="AJ70" s="199"/>
      <c r="AK70" s="199"/>
      <c r="AL70" s="199"/>
      <c r="AM70" s="207"/>
      <c r="AN70" s="208">
        <f t="shared" si="36"/>
        <v>0</v>
      </c>
      <c r="AO70" s="209"/>
      <c r="AP70" s="209"/>
      <c r="AQ70" s="210">
        <f t="shared" si="37"/>
        <v>0</v>
      </c>
      <c r="AR70" s="211">
        <f t="shared" si="38"/>
        <v>49</v>
      </c>
      <c r="AS70" s="405">
        <f t="shared" si="39"/>
        <v>0</v>
      </c>
      <c r="AT70" s="355">
        <v>36.299999999999997</v>
      </c>
      <c r="AU70" s="356">
        <f t="shared" si="40"/>
        <v>21.333333333333332</v>
      </c>
      <c r="AV70" s="386">
        <f t="shared" si="41"/>
        <v>0</v>
      </c>
      <c r="AW70" s="358">
        <f t="shared" si="42"/>
        <v>0</v>
      </c>
      <c r="AX70" s="356">
        <f t="shared" si="43"/>
        <v>14.966666666666665</v>
      </c>
      <c r="AY70" s="387">
        <f t="shared" si="32"/>
        <v>0.58769513314967858</v>
      </c>
      <c r="AZ70" s="388">
        <f t="shared" si="33"/>
        <v>0.41230486685032136</v>
      </c>
      <c r="BA70" s="287">
        <v>1603684</v>
      </c>
      <c r="BB70" s="287">
        <f t="shared" si="17"/>
        <v>32728.244897959183</v>
      </c>
    </row>
    <row r="71" spans="1:54" ht="14.45" customHeight="1" thickBot="1" x14ac:dyDescent="0.3">
      <c r="A71" s="194" t="s">
        <v>867</v>
      </c>
      <c r="B71" s="195" t="s">
        <v>868</v>
      </c>
      <c r="C71" s="122" t="s">
        <v>54</v>
      </c>
      <c r="D71" s="123"/>
      <c r="E71" s="123"/>
      <c r="F71" s="123"/>
      <c r="G71" s="196" t="s">
        <v>609</v>
      </c>
      <c r="H71" s="196" t="s">
        <v>609</v>
      </c>
      <c r="I71" s="197"/>
      <c r="J71" s="197"/>
      <c r="K71" s="196" t="s">
        <v>349</v>
      </c>
      <c r="L71" s="212">
        <v>51.75</v>
      </c>
      <c r="M71" s="199">
        <v>19</v>
      </c>
      <c r="N71" s="199"/>
      <c r="O71" s="199"/>
      <c r="P71" s="199"/>
      <c r="Q71" s="200"/>
      <c r="R71" s="201">
        <v>1</v>
      </c>
      <c r="S71" s="202">
        <f t="shared" si="34"/>
        <v>20</v>
      </c>
      <c r="T71" s="199">
        <f>IF($C71="",0,VLOOKUP($C71,[5]Hoja1!$C$11:$D$27,2,FALSE)*M71)+IF($D71="",0,VLOOKUP($D71,[5]Hoja1!$C$11:$D$27,2,FALSE)*N71)+IF($F71="",0,VLOOKUP($F71,[5]Hoja1!$C$11:$D$27,2,FALSE)*P71)+IF(R71="",0,R71*0.5)</f>
        <v>10</v>
      </c>
      <c r="U71" s="199">
        <f>IF(G71="x",4,"")</f>
        <v>4</v>
      </c>
      <c r="V71" s="199">
        <v>4</v>
      </c>
      <c r="W71" s="204">
        <v>2.25</v>
      </c>
      <c r="X71" s="200"/>
      <c r="Y71" s="200"/>
      <c r="Z71" s="200"/>
      <c r="AA71" s="200"/>
      <c r="AB71" s="326">
        <v>2</v>
      </c>
      <c r="AC71" s="326">
        <v>2</v>
      </c>
      <c r="AD71" s="327">
        <v>1.5</v>
      </c>
      <c r="AE71" s="200"/>
      <c r="AF71" s="200"/>
      <c r="AG71" s="205"/>
      <c r="AH71" s="206">
        <f t="shared" si="35"/>
        <v>25.75</v>
      </c>
      <c r="AI71" s="213"/>
      <c r="AJ71" s="199">
        <v>6</v>
      </c>
      <c r="AK71" s="199"/>
      <c r="AL71" s="199"/>
      <c r="AM71" s="207"/>
      <c r="AN71" s="208">
        <f t="shared" si="36"/>
        <v>6</v>
      </c>
      <c r="AO71" s="214"/>
      <c r="AP71" s="214"/>
      <c r="AQ71" s="210">
        <f t="shared" si="37"/>
        <v>0</v>
      </c>
      <c r="AR71" s="211">
        <f t="shared" si="38"/>
        <v>51.75</v>
      </c>
      <c r="AS71" s="405">
        <f t="shared" si="39"/>
        <v>0</v>
      </c>
      <c r="AT71" s="355">
        <v>37.366666666666667</v>
      </c>
      <c r="AU71" s="356">
        <f t="shared" si="40"/>
        <v>14.666666666666666</v>
      </c>
      <c r="AV71" s="386">
        <f t="shared" si="41"/>
        <v>4</v>
      </c>
      <c r="AW71" s="358">
        <f t="shared" si="42"/>
        <v>0</v>
      </c>
      <c r="AX71" s="356">
        <f t="shared" si="43"/>
        <v>18.700000000000003</v>
      </c>
      <c r="AY71" s="387">
        <f t="shared" si="32"/>
        <v>0.43956043956043955</v>
      </c>
      <c r="AZ71" s="388">
        <f t="shared" si="33"/>
        <v>0.56043956043956056</v>
      </c>
      <c r="BA71" s="287">
        <v>2845660</v>
      </c>
      <c r="BB71" s="287">
        <f t="shared" si="17"/>
        <v>54988.599033816427</v>
      </c>
    </row>
    <row r="72" spans="1:54" ht="15.75" thickBot="1" x14ac:dyDescent="0.3">
      <c r="A72" s="194" t="s">
        <v>715</v>
      </c>
      <c r="B72" s="195" t="s">
        <v>716</v>
      </c>
      <c r="C72" s="122" t="s">
        <v>114</v>
      </c>
      <c r="D72" s="123"/>
      <c r="E72" s="123"/>
      <c r="F72" s="123"/>
      <c r="G72" s="196" t="s">
        <v>609</v>
      </c>
      <c r="H72" s="196"/>
      <c r="I72" s="197"/>
      <c r="J72" s="197"/>
      <c r="K72" s="196"/>
      <c r="L72" s="212">
        <v>49</v>
      </c>
      <c r="M72" s="199">
        <v>17</v>
      </c>
      <c r="N72" s="199"/>
      <c r="O72" s="199"/>
      <c r="P72" s="199"/>
      <c r="Q72" s="200">
        <v>14</v>
      </c>
      <c r="R72" s="201">
        <f>IF(G72="x",1,"")</f>
        <v>1</v>
      </c>
      <c r="S72" s="202">
        <f t="shared" si="34"/>
        <v>32</v>
      </c>
      <c r="T72" s="333">
        <v>8.5</v>
      </c>
      <c r="U72" s="199">
        <v>5</v>
      </c>
      <c r="V72" s="199"/>
      <c r="W72" s="204">
        <v>2.25</v>
      </c>
      <c r="X72" s="200"/>
      <c r="Y72" s="200"/>
      <c r="Z72" s="200"/>
      <c r="AA72" s="200"/>
      <c r="AB72" s="326"/>
      <c r="AC72" s="326">
        <v>1</v>
      </c>
      <c r="AD72" s="327">
        <v>0.25</v>
      </c>
      <c r="AE72" s="200"/>
      <c r="AF72" s="200"/>
      <c r="AG72" s="205"/>
      <c r="AH72" s="206">
        <f t="shared" si="35"/>
        <v>17</v>
      </c>
      <c r="AI72" s="213"/>
      <c r="AJ72" s="199"/>
      <c r="AK72" s="199"/>
      <c r="AL72" s="199"/>
      <c r="AM72" s="207"/>
      <c r="AN72" s="208">
        <f t="shared" si="36"/>
        <v>0</v>
      </c>
      <c r="AO72" s="214"/>
      <c r="AP72" s="214"/>
      <c r="AQ72" s="210">
        <f t="shared" si="37"/>
        <v>0</v>
      </c>
      <c r="AR72" s="211">
        <f t="shared" si="38"/>
        <v>49</v>
      </c>
      <c r="AS72" s="405">
        <f t="shared" si="39"/>
        <v>0</v>
      </c>
      <c r="AT72" s="355">
        <v>35.283333333333331</v>
      </c>
      <c r="AU72" s="356">
        <f t="shared" si="40"/>
        <v>21.333333333333332</v>
      </c>
      <c r="AV72" s="386">
        <f t="shared" si="41"/>
        <v>0</v>
      </c>
      <c r="AW72" s="358">
        <f t="shared" si="42"/>
        <v>0</v>
      </c>
      <c r="AX72" s="356">
        <f t="shared" si="43"/>
        <v>13.95</v>
      </c>
      <c r="AY72" s="387">
        <f t="shared" si="32"/>
        <v>0.60462919225318845</v>
      </c>
      <c r="AZ72" s="388">
        <f t="shared" si="33"/>
        <v>0.39537080774681155</v>
      </c>
      <c r="BA72" s="287">
        <v>1666000</v>
      </c>
      <c r="BB72" s="287">
        <f t="shared" si="17"/>
        <v>34000</v>
      </c>
    </row>
    <row r="73" spans="1:54" ht="15.75" thickBot="1" x14ac:dyDescent="0.3">
      <c r="A73" s="194" t="s">
        <v>754</v>
      </c>
      <c r="B73" s="195" t="s">
        <v>755</v>
      </c>
      <c r="C73" s="122" t="s">
        <v>114</v>
      </c>
      <c r="D73" s="123"/>
      <c r="E73" s="123"/>
      <c r="F73" s="123"/>
      <c r="G73" s="196" t="s">
        <v>609</v>
      </c>
      <c r="H73" s="196"/>
      <c r="I73" s="197"/>
      <c r="J73" s="197"/>
      <c r="K73" s="196"/>
      <c r="L73" s="212">
        <v>49</v>
      </c>
      <c r="M73" s="199">
        <v>17</v>
      </c>
      <c r="N73" s="199"/>
      <c r="O73" s="199"/>
      <c r="P73" s="199"/>
      <c r="Q73" s="200">
        <v>14</v>
      </c>
      <c r="R73" s="201">
        <f>IF(G73="x",1,"")</f>
        <v>1</v>
      </c>
      <c r="S73" s="202">
        <f t="shared" si="34"/>
        <v>32</v>
      </c>
      <c r="T73" s="199">
        <v>8.5</v>
      </c>
      <c r="U73" s="199">
        <v>5</v>
      </c>
      <c r="V73" s="199"/>
      <c r="W73" s="204">
        <v>2.25</v>
      </c>
      <c r="X73" s="200"/>
      <c r="Y73" s="200"/>
      <c r="Z73" s="200"/>
      <c r="AA73" s="200"/>
      <c r="AB73" s="326"/>
      <c r="AC73" s="326">
        <v>1</v>
      </c>
      <c r="AD73" s="327">
        <v>0.25</v>
      </c>
      <c r="AE73" s="200"/>
      <c r="AF73" s="200"/>
      <c r="AG73" s="205"/>
      <c r="AH73" s="206">
        <f t="shared" si="35"/>
        <v>17</v>
      </c>
      <c r="AI73" s="213"/>
      <c r="AJ73" s="199"/>
      <c r="AK73" s="199"/>
      <c r="AL73" s="199"/>
      <c r="AM73" s="207"/>
      <c r="AN73" s="208">
        <f t="shared" si="36"/>
        <v>0</v>
      </c>
      <c r="AO73" s="214"/>
      <c r="AP73" s="214"/>
      <c r="AQ73" s="210">
        <f t="shared" si="37"/>
        <v>0</v>
      </c>
      <c r="AR73" s="211">
        <f t="shared" si="38"/>
        <v>49</v>
      </c>
      <c r="AS73" s="405">
        <f t="shared" si="39"/>
        <v>0</v>
      </c>
      <c r="AT73" s="355">
        <v>36.299999999999997</v>
      </c>
      <c r="AU73" s="356">
        <f t="shared" si="40"/>
        <v>21.333333333333332</v>
      </c>
      <c r="AV73" s="386">
        <f t="shared" si="41"/>
        <v>0</v>
      </c>
      <c r="AW73" s="358">
        <f t="shared" si="42"/>
        <v>0</v>
      </c>
      <c r="AX73" s="356">
        <f t="shared" si="43"/>
        <v>14.966666666666665</v>
      </c>
      <c r="AY73" s="387">
        <f t="shared" si="32"/>
        <v>0.58769513314967858</v>
      </c>
      <c r="AZ73" s="388">
        <f t="shared" si="33"/>
        <v>0.41230486685032136</v>
      </c>
      <c r="BA73" s="287">
        <v>1941819</v>
      </c>
      <c r="BB73" s="287">
        <f t="shared" si="17"/>
        <v>39628.959183673469</v>
      </c>
    </row>
    <row r="74" spans="1:54" ht="14.45" customHeight="1" thickBot="1" x14ac:dyDescent="0.3">
      <c r="A74" s="194" t="s">
        <v>873</v>
      </c>
      <c r="B74" s="195" t="s">
        <v>874</v>
      </c>
      <c r="C74" s="122" t="s">
        <v>54</v>
      </c>
      <c r="D74" s="123"/>
      <c r="E74" s="123"/>
      <c r="F74" s="123"/>
      <c r="G74" s="196" t="s">
        <v>609</v>
      </c>
      <c r="H74" s="196"/>
      <c r="I74" s="197"/>
      <c r="J74" s="197"/>
      <c r="K74" s="196" t="s">
        <v>318</v>
      </c>
      <c r="L74" s="212">
        <v>38.25</v>
      </c>
      <c r="M74" s="199">
        <v>15</v>
      </c>
      <c r="N74" s="199"/>
      <c r="O74" s="199"/>
      <c r="P74" s="199"/>
      <c r="Q74" s="200"/>
      <c r="R74" s="201">
        <v>1</v>
      </c>
      <c r="S74" s="202">
        <f t="shared" si="34"/>
        <v>16</v>
      </c>
      <c r="T74" s="199">
        <f>IF($C74="",0,VLOOKUP($C74,[5]Hoja1!$C$11:$D$27,2,FALSE)*M74)+IF($D74="",0,VLOOKUP($D74,[5]Hoja1!$C$11:$D$27,2,FALSE)*N74)+IF($F74="",0,VLOOKUP($F74,[5]Hoja1!$C$11:$D$27,2,FALSE)*P74)+IF(R74="",0,R74*0.5)</f>
        <v>8</v>
      </c>
      <c r="U74" s="199">
        <f t="shared" ref="U74:U88" si="44">IF(G74="x",4,"")</f>
        <v>4</v>
      </c>
      <c r="V74" s="199">
        <v>4</v>
      </c>
      <c r="W74" s="204">
        <v>2.25</v>
      </c>
      <c r="X74" s="200"/>
      <c r="Y74" s="200"/>
      <c r="Z74" s="200"/>
      <c r="AA74" s="200"/>
      <c r="AB74" s="326">
        <v>2</v>
      </c>
      <c r="AC74" s="326">
        <v>1</v>
      </c>
      <c r="AD74" s="327">
        <v>1</v>
      </c>
      <c r="AE74" s="200"/>
      <c r="AF74" s="200"/>
      <c r="AG74" s="205"/>
      <c r="AH74" s="206">
        <f t="shared" si="35"/>
        <v>22.25</v>
      </c>
      <c r="AI74" s="213"/>
      <c r="AJ74" s="199"/>
      <c r="AK74" s="199"/>
      <c r="AL74" s="199"/>
      <c r="AM74" s="207"/>
      <c r="AN74" s="208">
        <f t="shared" si="36"/>
        <v>0</v>
      </c>
      <c r="AO74" s="214"/>
      <c r="AP74" s="214"/>
      <c r="AQ74" s="210">
        <f t="shared" si="37"/>
        <v>0</v>
      </c>
      <c r="AR74" s="211">
        <f t="shared" si="38"/>
        <v>38.25</v>
      </c>
      <c r="AS74" s="405">
        <f t="shared" si="39"/>
        <v>0</v>
      </c>
      <c r="AT74" s="355">
        <v>31.25</v>
      </c>
      <c r="AU74" s="356">
        <f t="shared" si="40"/>
        <v>12</v>
      </c>
      <c r="AV74" s="386">
        <f t="shared" si="41"/>
        <v>0</v>
      </c>
      <c r="AW74" s="358">
        <f t="shared" si="42"/>
        <v>0</v>
      </c>
      <c r="AX74" s="356">
        <f t="shared" si="43"/>
        <v>19.25</v>
      </c>
      <c r="AY74" s="387">
        <f t="shared" si="32"/>
        <v>0.38400000000000001</v>
      </c>
      <c r="AZ74" s="388">
        <f t="shared" si="33"/>
        <v>0.61599999999999999</v>
      </c>
      <c r="BA74" s="287">
        <v>1215394</v>
      </c>
      <c r="BB74" s="287">
        <f t="shared" si="17"/>
        <v>31775.006535947712</v>
      </c>
    </row>
    <row r="75" spans="1:54" ht="14.45" customHeight="1" thickBot="1" x14ac:dyDescent="0.3">
      <c r="A75" s="194" t="s">
        <v>875</v>
      </c>
      <c r="B75" s="195" t="s">
        <v>876</v>
      </c>
      <c r="C75" s="122" t="s">
        <v>295</v>
      </c>
      <c r="D75" s="123" t="s">
        <v>627</v>
      </c>
      <c r="E75" s="123"/>
      <c r="F75" s="123"/>
      <c r="G75" s="196" t="s">
        <v>609</v>
      </c>
      <c r="H75" s="196" t="s">
        <v>609</v>
      </c>
      <c r="I75" s="197"/>
      <c r="J75" s="197"/>
      <c r="K75" s="196" t="s">
        <v>349</v>
      </c>
      <c r="L75" s="212">
        <v>46.75</v>
      </c>
      <c r="M75" s="199">
        <v>8</v>
      </c>
      <c r="N75" s="199">
        <v>6</v>
      </c>
      <c r="O75" s="199"/>
      <c r="P75" s="199"/>
      <c r="Q75" s="200"/>
      <c r="R75" s="201">
        <v>2</v>
      </c>
      <c r="S75" s="202">
        <f t="shared" si="34"/>
        <v>16</v>
      </c>
      <c r="T75" s="199">
        <f>((4+3))+0.5</f>
        <v>7.5</v>
      </c>
      <c r="U75" s="199">
        <f t="shared" si="44"/>
        <v>4</v>
      </c>
      <c r="V75" s="199">
        <v>4</v>
      </c>
      <c r="W75" s="204">
        <v>2.25</v>
      </c>
      <c r="X75" s="200"/>
      <c r="Y75" s="200"/>
      <c r="Z75" s="200">
        <v>7.5</v>
      </c>
      <c r="AA75" s="200"/>
      <c r="AB75" s="326">
        <v>2</v>
      </c>
      <c r="AC75" s="326"/>
      <c r="AD75" s="327">
        <v>0.5</v>
      </c>
      <c r="AE75" s="200"/>
      <c r="AF75" s="200"/>
      <c r="AG75" s="205"/>
      <c r="AH75" s="206">
        <f t="shared" si="35"/>
        <v>27.75</v>
      </c>
      <c r="AI75" s="213"/>
      <c r="AJ75" s="199">
        <v>3</v>
      </c>
      <c r="AK75" s="199"/>
      <c r="AL75" s="199"/>
      <c r="AM75" s="207"/>
      <c r="AN75" s="208">
        <f t="shared" si="36"/>
        <v>3</v>
      </c>
      <c r="AO75" s="214"/>
      <c r="AP75" s="214"/>
      <c r="AQ75" s="210">
        <f t="shared" si="37"/>
        <v>0</v>
      </c>
      <c r="AR75" s="211">
        <f t="shared" si="38"/>
        <v>46.75</v>
      </c>
      <c r="AS75" s="405">
        <f t="shared" si="39"/>
        <v>0</v>
      </c>
      <c r="AT75" s="355">
        <v>35.233333333333334</v>
      </c>
      <c r="AU75" s="356">
        <f t="shared" si="40"/>
        <v>12</v>
      </c>
      <c r="AV75" s="386">
        <f t="shared" si="41"/>
        <v>2</v>
      </c>
      <c r="AW75" s="358">
        <f t="shared" si="42"/>
        <v>0</v>
      </c>
      <c r="AX75" s="356">
        <f t="shared" si="43"/>
        <v>21.233333333333334</v>
      </c>
      <c r="AY75" s="387">
        <f t="shared" si="32"/>
        <v>0.36108324974924771</v>
      </c>
      <c r="AZ75" s="388">
        <f t="shared" si="33"/>
        <v>0.63891675025075223</v>
      </c>
      <c r="BA75" s="287">
        <v>1949097</v>
      </c>
      <c r="BB75" s="287">
        <f t="shared" si="17"/>
        <v>41691.914438502674</v>
      </c>
    </row>
    <row r="76" spans="1:54" ht="14.45" customHeight="1" thickBot="1" x14ac:dyDescent="0.3">
      <c r="A76" s="194" t="s">
        <v>877</v>
      </c>
      <c r="B76" s="195" t="s">
        <v>878</v>
      </c>
      <c r="C76" s="122" t="s">
        <v>99</v>
      </c>
      <c r="D76" s="123"/>
      <c r="E76" s="123"/>
      <c r="F76" s="123"/>
      <c r="G76" s="196"/>
      <c r="H76" s="196"/>
      <c r="I76" s="197"/>
      <c r="J76" s="197"/>
      <c r="K76" s="196" t="s">
        <v>429</v>
      </c>
      <c r="L76" s="212">
        <v>25.05</v>
      </c>
      <c r="M76" s="199">
        <v>16</v>
      </c>
      <c r="N76" s="199"/>
      <c r="O76" s="199"/>
      <c r="P76" s="199"/>
      <c r="Q76" s="200"/>
      <c r="R76" s="201" t="str">
        <f>IF(G76="x",1,"")</f>
        <v/>
      </c>
      <c r="S76" s="202">
        <f t="shared" si="34"/>
        <v>16</v>
      </c>
      <c r="T76" s="199">
        <f>IF($C76="",0,VLOOKUP($C76,[5]Hoja1!$C$11:$D$27,2,FALSE)*M76)+IF($D76="",0,VLOOKUP($D76,[5]Hoja1!$C$11:$D$27,2,FALSE)*N76)+IF($F76="",0,VLOOKUP($F76,[5]Hoja1!$C$11:$D$27,2,FALSE)*P76)+IF(R76="",0,R76*0.5)</f>
        <v>4.8</v>
      </c>
      <c r="U76" s="199" t="str">
        <f t="shared" si="44"/>
        <v/>
      </c>
      <c r="V76" s="199"/>
      <c r="W76" s="204">
        <v>2.25</v>
      </c>
      <c r="X76" s="200"/>
      <c r="Y76" s="200"/>
      <c r="Z76" s="200"/>
      <c r="AA76" s="200"/>
      <c r="AB76" s="326"/>
      <c r="AC76" s="326">
        <v>2</v>
      </c>
      <c r="AD76" s="327"/>
      <c r="AE76" s="200"/>
      <c r="AF76" s="200"/>
      <c r="AG76" s="205"/>
      <c r="AH76" s="206">
        <f t="shared" si="35"/>
        <v>9.0500000000000007</v>
      </c>
      <c r="AI76" s="213"/>
      <c r="AJ76" s="199"/>
      <c r="AK76" s="199"/>
      <c r="AL76" s="199"/>
      <c r="AM76" s="207"/>
      <c r="AN76" s="208">
        <f t="shared" si="36"/>
        <v>0</v>
      </c>
      <c r="AO76" s="214"/>
      <c r="AP76" s="214"/>
      <c r="AQ76" s="210">
        <f t="shared" si="37"/>
        <v>0</v>
      </c>
      <c r="AR76" s="211">
        <f t="shared" si="38"/>
        <v>25.05</v>
      </c>
      <c r="AS76" s="405">
        <f t="shared" si="39"/>
        <v>0</v>
      </c>
      <c r="AT76" s="355">
        <v>19.266666666666666</v>
      </c>
      <c r="AU76" s="356">
        <f t="shared" si="40"/>
        <v>10.666666666666666</v>
      </c>
      <c r="AV76" s="386">
        <f t="shared" si="41"/>
        <v>0</v>
      </c>
      <c r="AW76" s="358">
        <f t="shared" si="42"/>
        <v>0</v>
      </c>
      <c r="AX76" s="356">
        <f t="shared" si="43"/>
        <v>8.6</v>
      </c>
      <c r="AY76" s="387">
        <f t="shared" si="32"/>
        <v>0.55363321799307963</v>
      </c>
      <c r="AZ76" s="388">
        <f t="shared" si="33"/>
        <v>0.44636678200692043</v>
      </c>
      <c r="BA76" s="287">
        <v>872993</v>
      </c>
      <c r="BB76" s="287">
        <f t="shared" si="17"/>
        <v>34850.019960079837</v>
      </c>
    </row>
    <row r="77" spans="1:54" ht="14.45" customHeight="1" thickBot="1" x14ac:dyDescent="0.3">
      <c r="A77" s="194" t="s">
        <v>879</v>
      </c>
      <c r="B77" s="195" t="s">
        <v>880</v>
      </c>
      <c r="C77" s="122" t="s">
        <v>80</v>
      </c>
      <c r="D77" s="123"/>
      <c r="E77" s="123"/>
      <c r="F77" s="123"/>
      <c r="G77" s="196"/>
      <c r="H77" s="196"/>
      <c r="I77" s="197"/>
      <c r="J77" s="197"/>
      <c r="K77" s="196" t="s">
        <v>762</v>
      </c>
      <c r="L77" s="212">
        <v>48</v>
      </c>
      <c r="M77" s="199">
        <v>38.5</v>
      </c>
      <c r="N77" s="199"/>
      <c r="O77" s="199"/>
      <c r="P77" s="199"/>
      <c r="Q77" s="200"/>
      <c r="R77" s="201" t="str">
        <f>IF(G77="x",1,"")</f>
        <v/>
      </c>
      <c r="S77" s="202">
        <f t="shared" si="34"/>
        <v>38.5</v>
      </c>
      <c r="T77" s="199">
        <v>5.25</v>
      </c>
      <c r="U77" s="199" t="str">
        <f t="shared" si="44"/>
        <v/>
      </c>
      <c r="V77" s="199"/>
      <c r="W77" s="204">
        <v>2.25</v>
      </c>
      <c r="X77" s="200"/>
      <c r="Y77" s="200"/>
      <c r="Z77" s="200"/>
      <c r="AA77" s="200"/>
      <c r="AB77" s="326"/>
      <c r="AC77" s="326"/>
      <c r="AD77" s="327"/>
      <c r="AE77" s="200"/>
      <c r="AF77" s="200">
        <v>2</v>
      </c>
      <c r="AG77" s="205" t="s">
        <v>763</v>
      </c>
      <c r="AH77" s="206">
        <f t="shared" si="35"/>
        <v>9.5</v>
      </c>
      <c r="AI77" s="213"/>
      <c r="AJ77" s="199"/>
      <c r="AK77" s="199"/>
      <c r="AL77" s="199"/>
      <c r="AM77" s="207"/>
      <c r="AN77" s="208">
        <f t="shared" si="36"/>
        <v>0</v>
      </c>
      <c r="AO77" s="214"/>
      <c r="AP77" s="214"/>
      <c r="AQ77" s="210">
        <f t="shared" si="37"/>
        <v>0</v>
      </c>
      <c r="AR77" s="211">
        <f t="shared" si="38"/>
        <v>48</v>
      </c>
      <c r="AS77" s="405">
        <f t="shared" si="39"/>
        <v>0</v>
      </c>
      <c r="AT77" s="355">
        <v>33.641666666666666</v>
      </c>
      <c r="AU77" s="356">
        <f t="shared" si="40"/>
        <v>25.666666666666668</v>
      </c>
      <c r="AV77" s="386">
        <f t="shared" si="41"/>
        <v>0</v>
      </c>
      <c r="AW77" s="358">
        <f t="shared" si="42"/>
        <v>0</v>
      </c>
      <c r="AX77" s="356">
        <f t="shared" si="43"/>
        <v>7.9749999999999979</v>
      </c>
      <c r="AY77" s="409">
        <f t="shared" si="32"/>
        <v>0.76294277929155319</v>
      </c>
      <c r="AZ77" s="410">
        <f t="shared" si="33"/>
        <v>0.23705722070844681</v>
      </c>
      <c r="BA77" s="287">
        <v>1326000</v>
      </c>
      <c r="BB77" s="287">
        <f t="shared" si="17"/>
        <v>27625</v>
      </c>
    </row>
    <row r="78" spans="1:54" ht="14.45" customHeight="1" thickBot="1" x14ac:dyDescent="0.3">
      <c r="A78" s="194" t="s">
        <v>881</v>
      </c>
      <c r="B78" s="195" t="s">
        <v>882</v>
      </c>
      <c r="C78" s="122" t="s">
        <v>80</v>
      </c>
      <c r="D78" s="123"/>
      <c r="E78" s="123"/>
      <c r="F78" s="123"/>
      <c r="G78" s="196"/>
      <c r="H78" s="196"/>
      <c r="I78" s="197"/>
      <c r="J78" s="197"/>
      <c r="K78" s="196" t="s">
        <v>762</v>
      </c>
      <c r="L78" s="212">
        <v>48</v>
      </c>
      <c r="M78" s="199">
        <v>38.5</v>
      </c>
      <c r="N78" s="199"/>
      <c r="O78" s="199"/>
      <c r="P78" s="199"/>
      <c r="Q78" s="200"/>
      <c r="R78" s="201" t="str">
        <f>IF(G78="x",1,"")</f>
        <v/>
      </c>
      <c r="S78" s="202">
        <f t="shared" si="34"/>
        <v>38.5</v>
      </c>
      <c r="T78" s="199">
        <v>5.25</v>
      </c>
      <c r="U78" s="199" t="str">
        <f t="shared" si="44"/>
        <v/>
      </c>
      <c r="V78" s="199"/>
      <c r="W78" s="204">
        <v>2.25</v>
      </c>
      <c r="X78" s="200"/>
      <c r="Y78" s="200"/>
      <c r="Z78" s="200"/>
      <c r="AA78" s="200"/>
      <c r="AB78" s="326"/>
      <c r="AC78" s="326"/>
      <c r="AD78" s="327"/>
      <c r="AE78" s="200"/>
      <c r="AF78" s="200">
        <v>2</v>
      </c>
      <c r="AG78" s="205" t="s">
        <v>763</v>
      </c>
      <c r="AH78" s="206">
        <f t="shared" si="35"/>
        <v>9.5</v>
      </c>
      <c r="AI78" s="213"/>
      <c r="AJ78" s="199"/>
      <c r="AK78" s="199"/>
      <c r="AL78" s="199"/>
      <c r="AM78" s="207"/>
      <c r="AN78" s="208">
        <f t="shared" si="36"/>
        <v>0</v>
      </c>
      <c r="AO78" s="214"/>
      <c r="AP78" s="214"/>
      <c r="AQ78" s="210">
        <f t="shared" si="37"/>
        <v>0</v>
      </c>
      <c r="AR78" s="211">
        <f t="shared" si="38"/>
        <v>48</v>
      </c>
      <c r="AS78" s="405">
        <f t="shared" si="39"/>
        <v>0</v>
      </c>
      <c r="AT78" s="355">
        <v>33.641666666666666</v>
      </c>
      <c r="AU78" s="356">
        <f t="shared" si="40"/>
        <v>25.666666666666668</v>
      </c>
      <c r="AV78" s="386">
        <f t="shared" si="41"/>
        <v>0</v>
      </c>
      <c r="AW78" s="358">
        <f t="shared" si="42"/>
        <v>0</v>
      </c>
      <c r="AX78" s="356">
        <f t="shared" si="43"/>
        <v>7.9749999999999979</v>
      </c>
      <c r="AY78" s="409">
        <f t="shared" si="32"/>
        <v>0.76294277929155319</v>
      </c>
      <c r="AZ78" s="410">
        <f t="shared" si="33"/>
        <v>0.23705722070844681</v>
      </c>
      <c r="BA78" s="287">
        <v>1511600</v>
      </c>
      <c r="BB78" s="287">
        <f t="shared" si="17"/>
        <v>31491.666666666668</v>
      </c>
    </row>
    <row r="79" spans="1:54" ht="14.45" customHeight="1" thickBot="1" x14ac:dyDescent="0.3">
      <c r="A79" s="194" t="s">
        <v>883</v>
      </c>
      <c r="B79" s="195" t="s">
        <v>884</v>
      </c>
      <c r="C79" s="122" t="s">
        <v>61</v>
      </c>
      <c r="D79" s="123"/>
      <c r="E79" s="123"/>
      <c r="F79" s="123"/>
      <c r="G79" s="196" t="s">
        <v>609</v>
      </c>
      <c r="H79" s="196" t="s">
        <v>609</v>
      </c>
      <c r="I79" s="197"/>
      <c r="J79" s="197"/>
      <c r="K79" s="196" t="s">
        <v>349</v>
      </c>
      <c r="L79" s="212">
        <v>43.75</v>
      </c>
      <c r="M79" s="199">
        <v>8</v>
      </c>
      <c r="N79" s="199"/>
      <c r="O79" s="199"/>
      <c r="P79" s="199"/>
      <c r="Q79" s="200"/>
      <c r="R79" s="201">
        <v>1</v>
      </c>
      <c r="S79" s="202">
        <f t="shared" si="34"/>
        <v>9</v>
      </c>
      <c r="T79" s="199">
        <f>IF($C79="",0,VLOOKUP($C79,[5]Hoja1!$C$11:$D$27,2,FALSE)*M79)+IF($D79="",0,VLOOKUP($D79,[5]Hoja1!$C$11:$D$27,2,FALSE)*N79)+IF($F79="",0,VLOOKUP($F79,[5]Hoja1!$C$11:$D$27,2,FALSE)*P79)+IF(R79="",0,R79*0.5)</f>
        <v>4.5</v>
      </c>
      <c r="U79" s="199">
        <f t="shared" si="44"/>
        <v>4</v>
      </c>
      <c r="V79" s="199">
        <v>3</v>
      </c>
      <c r="W79" s="204">
        <v>2.25</v>
      </c>
      <c r="X79" s="200"/>
      <c r="Y79" s="200"/>
      <c r="Z79" s="200"/>
      <c r="AA79" s="200"/>
      <c r="AB79" s="326">
        <v>3</v>
      </c>
      <c r="AC79" s="326"/>
      <c r="AD79" s="327">
        <v>1</v>
      </c>
      <c r="AE79" s="200"/>
      <c r="AF79" s="200">
        <f>4+3</f>
        <v>7</v>
      </c>
      <c r="AG79" s="205" t="s">
        <v>885</v>
      </c>
      <c r="AH79" s="206">
        <f t="shared" si="35"/>
        <v>24.75</v>
      </c>
      <c r="AI79" s="213"/>
      <c r="AJ79" s="199">
        <v>10</v>
      </c>
      <c r="AK79" s="199"/>
      <c r="AL79" s="199"/>
      <c r="AM79" s="207"/>
      <c r="AN79" s="208">
        <f t="shared" si="36"/>
        <v>10</v>
      </c>
      <c r="AO79" s="214"/>
      <c r="AP79" s="214"/>
      <c r="AQ79" s="210">
        <f t="shared" si="37"/>
        <v>0</v>
      </c>
      <c r="AR79" s="211">
        <f t="shared" si="38"/>
        <v>43.75</v>
      </c>
      <c r="AS79" s="405">
        <f t="shared" si="39"/>
        <v>0</v>
      </c>
      <c r="AT79" s="355">
        <v>30.2</v>
      </c>
      <c r="AU79" s="356">
        <f t="shared" si="40"/>
        <v>8</v>
      </c>
      <c r="AV79" s="386">
        <f t="shared" si="41"/>
        <v>6.666666666666667</v>
      </c>
      <c r="AW79" s="358">
        <f t="shared" si="42"/>
        <v>0</v>
      </c>
      <c r="AX79" s="356">
        <f t="shared" si="43"/>
        <v>15.533333333333331</v>
      </c>
      <c r="AY79" s="387">
        <f t="shared" si="32"/>
        <v>0.33994334277620397</v>
      </c>
      <c r="AZ79" s="388">
        <f t="shared" si="33"/>
        <v>0.66005665722379603</v>
      </c>
      <c r="BA79" s="287">
        <v>2105451</v>
      </c>
      <c r="BB79" s="287">
        <f t="shared" si="17"/>
        <v>48124.594285714287</v>
      </c>
    </row>
    <row r="80" spans="1:54" ht="14.45" customHeight="1" thickBot="1" x14ac:dyDescent="0.3">
      <c r="A80" s="194" t="s">
        <v>886</v>
      </c>
      <c r="B80" s="195" t="s">
        <v>887</v>
      </c>
      <c r="C80" s="122" t="s">
        <v>61</v>
      </c>
      <c r="D80" s="123"/>
      <c r="E80" s="123"/>
      <c r="F80" s="123"/>
      <c r="G80" s="196"/>
      <c r="H80" s="196"/>
      <c r="I80" s="197"/>
      <c r="J80" s="197"/>
      <c r="K80" s="196" t="s">
        <v>318</v>
      </c>
      <c r="L80" s="212">
        <v>44.25</v>
      </c>
      <c r="M80" s="199">
        <v>26</v>
      </c>
      <c r="N80" s="199"/>
      <c r="O80" s="199"/>
      <c r="P80" s="199"/>
      <c r="Q80" s="200"/>
      <c r="R80" s="201" t="str">
        <f>IF(G80="x",1,"")</f>
        <v/>
      </c>
      <c r="S80" s="202">
        <f t="shared" si="34"/>
        <v>26</v>
      </c>
      <c r="T80" s="199">
        <f>IF($C80="",0,VLOOKUP($C80,[5]Hoja1!$C$11:$D$27,2,FALSE)*M80)+IF($D80="",0,VLOOKUP($D80,[5]Hoja1!$C$11:$D$27,2,FALSE)*N80)+IF($F80="",0,VLOOKUP($F80,[5]Hoja1!$C$11:$D$27,2,FALSE)*P80)+IF(R80="",0,R80*0.5)</f>
        <v>13</v>
      </c>
      <c r="U80" s="199" t="str">
        <f t="shared" si="44"/>
        <v/>
      </c>
      <c r="V80" s="199"/>
      <c r="W80" s="204">
        <v>2.25</v>
      </c>
      <c r="X80" s="200"/>
      <c r="Y80" s="200"/>
      <c r="Z80" s="200"/>
      <c r="AA80" s="200"/>
      <c r="AB80" s="326">
        <v>1</v>
      </c>
      <c r="AC80" s="326">
        <v>1</v>
      </c>
      <c r="AD80" s="327">
        <v>1</v>
      </c>
      <c r="AE80" s="200"/>
      <c r="AF80" s="200"/>
      <c r="AG80" s="205"/>
      <c r="AH80" s="206">
        <f t="shared" si="35"/>
        <v>18.25</v>
      </c>
      <c r="AI80" s="213"/>
      <c r="AJ80" s="199"/>
      <c r="AK80" s="199"/>
      <c r="AL80" s="199"/>
      <c r="AM80" s="207"/>
      <c r="AN80" s="208">
        <f t="shared" si="36"/>
        <v>0</v>
      </c>
      <c r="AO80" s="214"/>
      <c r="AP80" s="214"/>
      <c r="AQ80" s="210">
        <f t="shared" si="37"/>
        <v>0</v>
      </c>
      <c r="AR80" s="211">
        <f t="shared" si="38"/>
        <v>44.25</v>
      </c>
      <c r="AS80" s="405">
        <f t="shared" si="39"/>
        <v>0</v>
      </c>
      <c r="AT80" s="355">
        <v>32.43333333333333</v>
      </c>
      <c r="AU80" s="356">
        <f t="shared" si="40"/>
        <v>18</v>
      </c>
      <c r="AV80" s="386">
        <f t="shared" si="41"/>
        <v>0</v>
      </c>
      <c r="AW80" s="358">
        <f t="shared" si="42"/>
        <v>0</v>
      </c>
      <c r="AX80" s="356">
        <f t="shared" si="43"/>
        <v>14.43333333333333</v>
      </c>
      <c r="AY80" s="387">
        <f t="shared" si="32"/>
        <v>0.55498458376156223</v>
      </c>
      <c r="AZ80" s="388">
        <f t="shared" si="33"/>
        <v>0.44501541623843777</v>
      </c>
      <c r="BA80" s="287">
        <v>1914667</v>
      </c>
      <c r="BB80" s="287">
        <f t="shared" si="17"/>
        <v>43269.310734463274</v>
      </c>
    </row>
    <row r="81" spans="1:54" ht="14.45" customHeight="1" thickBot="1" x14ac:dyDescent="0.3">
      <c r="A81" s="194" t="s">
        <v>888</v>
      </c>
      <c r="B81" s="195" t="s">
        <v>889</v>
      </c>
      <c r="C81" s="122" t="s">
        <v>54</v>
      </c>
      <c r="D81" s="123"/>
      <c r="E81" s="123"/>
      <c r="F81" s="123"/>
      <c r="G81" s="196" t="s">
        <v>609</v>
      </c>
      <c r="H81" s="196"/>
      <c r="I81" s="197" t="s">
        <v>57</v>
      </c>
      <c r="J81" s="217" t="s">
        <v>785</v>
      </c>
      <c r="K81" s="196" t="s">
        <v>349</v>
      </c>
      <c r="L81" s="212">
        <v>48.7</v>
      </c>
      <c r="M81" s="199">
        <v>2</v>
      </c>
      <c r="N81" s="199"/>
      <c r="O81" s="199"/>
      <c r="P81" s="199"/>
      <c r="Q81" s="200"/>
      <c r="R81" s="201">
        <v>1</v>
      </c>
      <c r="S81" s="202">
        <f t="shared" si="34"/>
        <v>3</v>
      </c>
      <c r="T81" s="199">
        <f>IF($C81="",0,VLOOKUP($C81,[5]Hoja1!$C$11:$D$27,2,FALSE)*M81)+IF($D81="",0,VLOOKUP($D81,[5]Hoja1!$C$11:$D$27,2,FALSE)*N81)+IF($F81="",0,VLOOKUP($F81,[5]Hoja1!$C$11:$D$27,2,FALSE)*P81)+IF(R81="",0,R81*0.5)</f>
        <v>1.5</v>
      </c>
      <c r="U81" s="199">
        <f t="shared" si="44"/>
        <v>4</v>
      </c>
      <c r="V81" s="199">
        <v>4</v>
      </c>
      <c r="W81" s="204">
        <v>2.25</v>
      </c>
      <c r="X81" s="200"/>
      <c r="Y81" s="200"/>
      <c r="Z81" s="200"/>
      <c r="AA81" s="200"/>
      <c r="AB81" s="326">
        <v>1</v>
      </c>
      <c r="AC81" s="326"/>
      <c r="AD81" s="327"/>
      <c r="AE81" s="200"/>
      <c r="AF81" s="200"/>
      <c r="AG81" s="205"/>
      <c r="AH81" s="206">
        <f t="shared" si="35"/>
        <v>12.75</v>
      </c>
      <c r="AI81" s="213">
        <v>22</v>
      </c>
      <c r="AJ81" s="199"/>
      <c r="AK81" s="199"/>
      <c r="AL81" s="199">
        <f>5+6</f>
        <v>11</v>
      </c>
      <c r="AM81" s="207" t="s">
        <v>890</v>
      </c>
      <c r="AN81" s="208">
        <f t="shared" si="36"/>
        <v>33</v>
      </c>
      <c r="AO81" s="214"/>
      <c r="AP81" s="214"/>
      <c r="AQ81" s="210">
        <f t="shared" si="37"/>
        <v>0</v>
      </c>
      <c r="AR81" s="211">
        <f t="shared" si="38"/>
        <v>48.75</v>
      </c>
      <c r="AS81" s="405">
        <f t="shared" si="39"/>
        <v>-4.9999999999997158E-2</v>
      </c>
      <c r="AT81" s="355">
        <v>37.033333333333331</v>
      </c>
      <c r="AU81" s="356">
        <f t="shared" si="40"/>
        <v>2.6666666666666665</v>
      </c>
      <c r="AV81" s="386">
        <f t="shared" si="41"/>
        <v>22</v>
      </c>
      <c r="AW81" s="358">
        <f t="shared" si="42"/>
        <v>0</v>
      </c>
      <c r="AX81" s="356">
        <f t="shared" si="43"/>
        <v>12.366666666666667</v>
      </c>
      <c r="AY81" s="387">
        <f t="shared" si="32"/>
        <v>0.17738359201773835</v>
      </c>
      <c r="AZ81" s="388">
        <f t="shared" si="33"/>
        <v>0.82261640798226165</v>
      </c>
      <c r="BA81" s="287">
        <v>2186912</v>
      </c>
      <c r="BB81" s="287">
        <f t="shared" si="17"/>
        <v>44905.79055441478</v>
      </c>
    </row>
    <row r="82" spans="1:54" ht="14.45" customHeight="1" thickBot="1" x14ac:dyDescent="0.3">
      <c r="A82" s="194" t="s">
        <v>891</v>
      </c>
      <c r="B82" s="195" t="s">
        <v>892</v>
      </c>
      <c r="C82" s="122" t="s">
        <v>56</v>
      </c>
      <c r="D82" s="123"/>
      <c r="E82" s="123"/>
      <c r="F82" s="123"/>
      <c r="G82" s="196"/>
      <c r="H82" s="196"/>
      <c r="I82" s="197"/>
      <c r="J82" s="197"/>
      <c r="K82" s="196" t="s">
        <v>429</v>
      </c>
      <c r="L82" s="212">
        <v>17.25</v>
      </c>
      <c r="M82" s="199">
        <v>10</v>
      </c>
      <c r="N82" s="199"/>
      <c r="O82" s="199"/>
      <c r="P82" s="199"/>
      <c r="Q82" s="200"/>
      <c r="R82" s="201" t="str">
        <f>IF(G82="x",1,"")</f>
        <v/>
      </c>
      <c r="S82" s="202">
        <f t="shared" si="34"/>
        <v>10</v>
      </c>
      <c r="T82" s="199">
        <f>IF($C82="",0,VLOOKUP($C82,[5]Hoja1!$C$11:$D$27,2,FALSE)*M82)+IF($D82="",0,VLOOKUP($D82,[5]Hoja1!$C$11:$D$27,2,FALSE)*N82)+IF($F82="",0,VLOOKUP($F82,[5]Hoja1!$C$11:$D$27,2,FALSE)*P82)+IF(R82="",0,R82*0.5)</f>
        <v>5</v>
      </c>
      <c r="U82" s="199" t="str">
        <f t="shared" si="44"/>
        <v/>
      </c>
      <c r="V82" s="199"/>
      <c r="W82" s="204">
        <v>2.25</v>
      </c>
      <c r="X82" s="200"/>
      <c r="Y82" s="200"/>
      <c r="Z82" s="200"/>
      <c r="AA82" s="200"/>
      <c r="AB82" s="326"/>
      <c r="AC82" s="326"/>
      <c r="AD82" s="327"/>
      <c r="AE82" s="200"/>
      <c r="AF82" s="200"/>
      <c r="AG82" s="205"/>
      <c r="AH82" s="206">
        <f t="shared" si="35"/>
        <v>7.25</v>
      </c>
      <c r="AI82" s="213"/>
      <c r="AJ82" s="199"/>
      <c r="AK82" s="199"/>
      <c r="AL82" s="199"/>
      <c r="AM82" s="207"/>
      <c r="AN82" s="208">
        <f t="shared" si="36"/>
        <v>0</v>
      </c>
      <c r="AO82" s="214"/>
      <c r="AP82" s="214"/>
      <c r="AQ82" s="210">
        <f t="shared" si="37"/>
        <v>0</v>
      </c>
      <c r="AR82" s="211">
        <f t="shared" si="38"/>
        <v>17.25</v>
      </c>
      <c r="AS82" s="405">
        <f t="shared" si="39"/>
        <v>0</v>
      </c>
      <c r="AT82" s="355">
        <v>12.166666666666666</v>
      </c>
      <c r="AU82" s="356">
        <f t="shared" si="40"/>
        <v>6.666666666666667</v>
      </c>
      <c r="AV82" s="386">
        <f t="shared" si="41"/>
        <v>0</v>
      </c>
      <c r="AW82" s="358">
        <f t="shared" si="42"/>
        <v>0</v>
      </c>
      <c r="AX82" s="356">
        <f t="shared" si="43"/>
        <v>5.4999999999999991</v>
      </c>
      <c r="AY82" s="387">
        <f t="shared" si="32"/>
        <v>0.54794520547945214</v>
      </c>
      <c r="AZ82" s="388">
        <f t="shared" si="33"/>
        <v>0.45205479452054792</v>
      </c>
      <c r="BA82" s="287">
        <v>490723</v>
      </c>
      <c r="BB82" s="287">
        <f t="shared" si="17"/>
        <v>28447.710144927536</v>
      </c>
    </row>
    <row r="83" spans="1:54" ht="14.45" customHeight="1" thickBot="1" x14ac:dyDescent="0.3">
      <c r="A83" s="194" t="s">
        <v>893</v>
      </c>
      <c r="B83" s="195" t="s">
        <v>894</v>
      </c>
      <c r="C83" s="122" t="s">
        <v>80</v>
      </c>
      <c r="D83" s="123"/>
      <c r="E83" s="123"/>
      <c r="F83" s="123"/>
      <c r="G83" s="196"/>
      <c r="H83" s="196"/>
      <c r="I83" s="197"/>
      <c r="J83" s="197"/>
      <c r="K83" s="196" t="s">
        <v>762</v>
      </c>
      <c r="L83" s="212">
        <v>48</v>
      </c>
      <c r="M83" s="199">
        <v>38.5</v>
      </c>
      <c r="N83" s="199"/>
      <c r="O83" s="199"/>
      <c r="P83" s="199"/>
      <c r="Q83" s="200"/>
      <c r="R83" s="201" t="str">
        <f>IF(G83="x",1,"")</f>
        <v/>
      </c>
      <c r="S83" s="202">
        <f t="shared" si="34"/>
        <v>38.5</v>
      </c>
      <c r="T83" s="199">
        <v>5.25</v>
      </c>
      <c r="U83" s="199" t="str">
        <f t="shared" si="44"/>
        <v/>
      </c>
      <c r="V83" s="199"/>
      <c r="W83" s="204">
        <v>2.25</v>
      </c>
      <c r="X83" s="200"/>
      <c r="Y83" s="200"/>
      <c r="Z83" s="200"/>
      <c r="AA83" s="200"/>
      <c r="AB83" s="326"/>
      <c r="AC83" s="326"/>
      <c r="AD83" s="327"/>
      <c r="AE83" s="200"/>
      <c r="AF83" s="200">
        <v>2</v>
      </c>
      <c r="AG83" s="205" t="s">
        <v>763</v>
      </c>
      <c r="AH83" s="206">
        <f t="shared" si="35"/>
        <v>9.5</v>
      </c>
      <c r="AI83" s="213"/>
      <c r="AJ83" s="199"/>
      <c r="AK83" s="199"/>
      <c r="AL83" s="199"/>
      <c r="AM83" s="207"/>
      <c r="AN83" s="208">
        <f t="shared" si="36"/>
        <v>0</v>
      </c>
      <c r="AO83" s="214"/>
      <c r="AP83" s="214"/>
      <c r="AQ83" s="210">
        <f t="shared" si="37"/>
        <v>0</v>
      </c>
      <c r="AR83" s="211">
        <f t="shared" si="38"/>
        <v>48</v>
      </c>
      <c r="AS83" s="405">
        <f t="shared" si="39"/>
        <v>0</v>
      </c>
      <c r="AT83" s="355">
        <v>33.641666666666666</v>
      </c>
      <c r="AU83" s="356">
        <f t="shared" si="40"/>
        <v>25.666666666666668</v>
      </c>
      <c r="AV83" s="386">
        <f t="shared" si="41"/>
        <v>0</v>
      </c>
      <c r="AW83" s="358">
        <f t="shared" si="42"/>
        <v>0</v>
      </c>
      <c r="AX83" s="356">
        <f t="shared" si="43"/>
        <v>7.9749999999999979</v>
      </c>
      <c r="AY83" s="409">
        <f t="shared" si="32"/>
        <v>0.76294277929155319</v>
      </c>
      <c r="AZ83" s="410">
        <f t="shared" si="33"/>
        <v>0.23705722070844681</v>
      </c>
      <c r="BA83" s="287">
        <v>1873342</v>
      </c>
      <c r="BB83" s="287">
        <f t="shared" si="17"/>
        <v>39027.958333333336</v>
      </c>
    </row>
    <row r="84" spans="1:54" ht="14.45" customHeight="1" thickBot="1" x14ac:dyDescent="0.3">
      <c r="A84" s="194" t="s">
        <v>895</v>
      </c>
      <c r="B84" s="195" t="s">
        <v>896</v>
      </c>
      <c r="C84" s="122" t="s">
        <v>99</v>
      </c>
      <c r="D84" s="123" t="s">
        <v>98</v>
      </c>
      <c r="E84" s="123"/>
      <c r="F84" s="123"/>
      <c r="G84" s="196" t="s">
        <v>609</v>
      </c>
      <c r="H84" s="196"/>
      <c r="I84" s="197"/>
      <c r="J84" s="197"/>
      <c r="K84" s="196" t="s">
        <v>318</v>
      </c>
      <c r="L84" s="212">
        <v>34.450000000000003</v>
      </c>
      <c r="M84" s="199">
        <v>8</v>
      </c>
      <c r="N84" s="199">
        <v>2</v>
      </c>
      <c r="O84" s="199"/>
      <c r="P84" s="199"/>
      <c r="Q84" s="200"/>
      <c r="R84" s="201">
        <v>2</v>
      </c>
      <c r="S84" s="202">
        <f t="shared" si="34"/>
        <v>12</v>
      </c>
      <c r="T84" s="199">
        <f>(2.4+0.6)+0.5</f>
        <v>3.5</v>
      </c>
      <c r="U84" s="199">
        <f t="shared" si="44"/>
        <v>4</v>
      </c>
      <c r="V84" s="199">
        <v>4</v>
      </c>
      <c r="W84" s="204">
        <v>2.25</v>
      </c>
      <c r="X84" s="200">
        <v>5</v>
      </c>
      <c r="Y84" s="200"/>
      <c r="Z84" s="200"/>
      <c r="AA84" s="200"/>
      <c r="AB84" s="326">
        <v>2</v>
      </c>
      <c r="AC84" s="326">
        <v>1</v>
      </c>
      <c r="AD84" s="327">
        <v>0.7</v>
      </c>
      <c r="AE84" s="200"/>
      <c r="AF84" s="200"/>
      <c r="AG84" s="205"/>
      <c r="AH84" s="206">
        <f t="shared" si="35"/>
        <v>22.45</v>
      </c>
      <c r="AI84" s="213"/>
      <c r="AJ84" s="199"/>
      <c r="AK84" s="199"/>
      <c r="AL84" s="199"/>
      <c r="AM84" s="207"/>
      <c r="AN84" s="208">
        <f t="shared" si="36"/>
        <v>0</v>
      </c>
      <c r="AO84" s="214"/>
      <c r="AP84" s="214"/>
      <c r="AQ84" s="210">
        <f t="shared" si="37"/>
        <v>0</v>
      </c>
      <c r="AR84" s="211">
        <f t="shared" si="38"/>
        <v>34.450000000000003</v>
      </c>
      <c r="AS84" s="405">
        <f t="shared" si="39"/>
        <v>0</v>
      </c>
      <c r="AT84" s="355">
        <v>24.133333333333333</v>
      </c>
      <c r="AU84" s="356">
        <f t="shared" si="40"/>
        <v>9.3333333333333339</v>
      </c>
      <c r="AV84" s="386">
        <f t="shared" si="41"/>
        <v>0</v>
      </c>
      <c r="AW84" s="358">
        <f t="shared" si="42"/>
        <v>0</v>
      </c>
      <c r="AX84" s="356">
        <f t="shared" si="43"/>
        <v>14.799999999999999</v>
      </c>
      <c r="AY84" s="387">
        <f t="shared" si="32"/>
        <v>0.38674033149171272</v>
      </c>
      <c r="AZ84" s="388">
        <f t="shared" si="33"/>
        <v>0.61325966850828728</v>
      </c>
      <c r="BA84" s="287">
        <v>1589971</v>
      </c>
      <c r="BB84" s="287">
        <f t="shared" si="17"/>
        <v>46153.004354136428</v>
      </c>
    </row>
    <row r="85" spans="1:54" ht="14.45" customHeight="1" thickBot="1" x14ac:dyDescent="0.3">
      <c r="A85" s="194" t="s">
        <v>897</v>
      </c>
      <c r="B85" s="195" t="s">
        <v>898</v>
      </c>
      <c r="C85" s="122" t="s">
        <v>126</v>
      </c>
      <c r="D85" s="123"/>
      <c r="E85" s="123"/>
      <c r="F85" s="123"/>
      <c r="G85" s="196"/>
      <c r="H85" s="196"/>
      <c r="I85" s="197"/>
      <c r="J85" s="197"/>
      <c r="K85" s="196" t="s">
        <v>309</v>
      </c>
      <c r="L85" s="212">
        <v>39.14</v>
      </c>
      <c r="M85" s="332">
        <v>14</v>
      </c>
      <c r="N85" s="199"/>
      <c r="O85" s="199"/>
      <c r="P85" s="199"/>
      <c r="Q85" s="200"/>
      <c r="R85" s="201" t="str">
        <f>IF(G85="x",1,"")</f>
        <v/>
      </c>
      <c r="S85" s="202">
        <f t="shared" si="34"/>
        <v>14</v>
      </c>
      <c r="T85" s="199">
        <f>IF($C85="",0,VLOOKUP($C85,[5]Hoja1!$C$11:$D$27,2,FALSE)*M85)+IF($D85="",0,VLOOKUP($D85,[5]Hoja1!$C$11:$D$27,2,FALSE)*N85)+IF($F85="",0,VLOOKUP($F85,[5]Hoja1!$C$11:$D$27,2,FALSE)*P85)+IF(R85="",0,R85*0.5)</f>
        <v>4.2</v>
      </c>
      <c r="U85" s="199" t="str">
        <f t="shared" si="44"/>
        <v/>
      </c>
      <c r="V85" s="199"/>
      <c r="W85" s="204">
        <v>2.25</v>
      </c>
      <c r="X85" s="200"/>
      <c r="Y85" s="332">
        <v>14.63</v>
      </c>
      <c r="Z85" s="200"/>
      <c r="AA85" s="200"/>
      <c r="AB85" s="326"/>
      <c r="AC85" s="326">
        <v>2</v>
      </c>
      <c r="AD85" s="327"/>
      <c r="AE85" s="200"/>
      <c r="AF85" s="200">
        <v>2</v>
      </c>
      <c r="AG85" s="205" t="s">
        <v>899</v>
      </c>
      <c r="AH85" s="206">
        <f t="shared" si="35"/>
        <v>25.080000000000002</v>
      </c>
      <c r="AI85" s="213"/>
      <c r="AJ85" s="199"/>
      <c r="AK85" s="199"/>
      <c r="AL85" s="199"/>
      <c r="AM85" s="207"/>
      <c r="AN85" s="208">
        <f t="shared" si="36"/>
        <v>0</v>
      </c>
      <c r="AO85" s="214"/>
      <c r="AP85" s="214"/>
      <c r="AQ85" s="210">
        <f t="shared" si="37"/>
        <v>0</v>
      </c>
      <c r="AR85" s="211">
        <f t="shared" si="38"/>
        <v>39.08</v>
      </c>
      <c r="AS85" s="405">
        <f t="shared" si="39"/>
        <v>6.0000000000002274E-2</v>
      </c>
      <c r="AT85" s="355">
        <v>24.416666666666668</v>
      </c>
      <c r="AU85" s="356">
        <f t="shared" si="40"/>
        <v>9.3333333333333339</v>
      </c>
      <c r="AV85" s="386">
        <f t="shared" si="41"/>
        <v>0</v>
      </c>
      <c r="AW85" s="358">
        <f t="shared" si="42"/>
        <v>0</v>
      </c>
      <c r="AX85" s="356">
        <f t="shared" si="43"/>
        <v>15.083333333333334</v>
      </c>
      <c r="AY85" s="387">
        <f t="shared" si="32"/>
        <v>0.38225255972696248</v>
      </c>
      <c r="AZ85" s="388">
        <f t="shared" si="33"/>
        <v>0.61774744027303752</v>
      </c>
      <c r="BA85" s="287">
        <v>1048575</v>
      </c>
      <c r="BB85" s="287">
        <f t="shared" si="17"/>
        <v>26790.367910066427</v>
      </c>
    </row>
    <row r="86" spans="1:54" ht="14.45" customHeight="1" thickBot="1" x14ac:dyDescent="0.3">
      <c r="A86" s="194" t="s">
        <v>900</v>
      </c>
      <c r="B86" s="195" t="s">
        <v>901</v>
      </c>
      <c r="C86" s="122" t="s">
        <v>80</v>
      </c>
      <c r="D86" s="123"/>
      <c r="E86" s="123"/>
      <c r="F86" s="123"/>
      <c r="G86" s="196"/>
      <c r="H86" s="196"/>
      <c r="I86" s="197"/>
      <c r="J86" s="197"/>
      <c r="K86" s="196" t="s">
        <v>762</v>
      </c>
      <c r="L86" s="212">
        <v>48</v>
      </c>
      <c r="M86" s="199">
        <v>38.5</v>
      </c>
      <c r="N86" s="199"/>
      <c r="O86" s="199"/>
      <c r="P86" s="199"/>
      <c r="Q86" s="200"/>
      <c r="R86" s="201" t="str">
        <f>IF(G86="x",1,"")</f>
        <v/>
      </c>
      <c r="S86" s="202">
        <f t="shared" si="34"/>
        <v>38.5</v>
      </c>
      <c r="T86" s="199">
        <v>5.25</v>
      </c>
      <c r="U86" s="199" t="str">
        <f t="shared" si="44"/>
        <v/>
      </c>
      <c r="V86" s="199"/>
      <c r="W86" s="204">
        <v>2.25</v>
      </c>
      <c r="X86" s="200"/>
      <c r="Y86" s="200"/>
      <c r="Z86" s="200"/>
      <c r="AA86" s="200"/>
      <c r="AB86" s="326"/>
      <c r="AC86" s="326"/>
      <c r="AD86" s="327"/>
      <c r="AE86" s="200"/>
      <c r="AF86" s="200">
        <v>2</v>
      </c>
      <c r="AG86" s="205" t="s">
        <v>763</v>
      </c>
      <c r="AH86" s="206">
        <f t="shared" si="35"/>
        <v>9.5</v>
      </c>
      <c r="AI86" s="213"/>
      <c r="AJ86" s="199"/>
      <c r="AK86" s="199"/>
      <c r="AL86" s="199"/>
      <c r="AM86" s="207"/>
      <c r="AN86" s="208">
        <f t="shared" si="36"/>
        <v>0</v>
      </c>
      <c r="AO86" s="214"/>
      <c r="AP86" s="214"/>
      <c r="AQ86" s="210">
        <f t="shared" si="37"/>
        <v>0</v>
      </c>
      <c r="AR86" s="211">
        <f t="shared" si="38"/>
        <v>48</v>
      </c>
      <c r="AS86" s="405">
        <f t="shared" si="39"/>
        <v>0</v>
      </c>
      <c r="AT86" s="355">
        <v>33.641666666666666</v>
      </c>
      <c r="AU86" s="356">
        <f t="shared" si="40"/>
        <v>25.666666666666668</v>
      </c>
      <c r="AV86" s="386">
        <f t="shared" si="41"/>
        <v>0</v>
      </c>
      <c r="AW86" s="358">
        <f t="shared" si="42"/>
        <v>0</v>
      </c>
      <c r="AX86" s="356">
        <f t="shared" si="43"/>
        <v>7.9749999999999979</v>
      </c>
      <c r="AY86" s="409">
        <f t="shared" si="32"/>
        <v>0.76294277929155319</v>
      </c>
      <c r="AZ86" s="410">
        <f t="shared" si="33"/>
        <v>0.23705722070844681</v>
      </c>
      <c r="BA86" s="287">
        <v>1423196</v>
      </c>
      <c r="BB86" s="287">
        <f t="shared" si="17"/>
        <v>29649.916666666668</v>
      </c>
    </row>
    <row r="87" spans="1:54" ht="14.45" customHeight="1" thickBot="1" x14ac:dyDescent="0.3">
      <c r="A87" s="194" t="s">
        <v>902</v>
      </c>
      <c r="B87" s="195" t="s">
        <v>903</v>
      </c>
      <c r="C87" s="122" t="s">
        <v>180</v>
      </c>
      <c r="D87" s="123"/>
      <c r="E87" s="123"/>
      <c r="F87" s="123"/>
      <c r="G87" s="196" t="s">
        <v>609</v>
      </c>
      <c r="H87" s="196"/>
      <c r="I87" s="197"/>
      <c r="J87" s="197"/>
      <c r="K87" s="196" t="s">
        <v>309</v>
      </c>
      <c r="L87" s="212">
        <v>35.549999999999997</v>
      </c>
      <c r="M87" s="199">
        <v>16</v>
      </c>
      <c r="N87" s="199"/>
      <c r="O87" s="199"/>
      <c r="P87" s="199"/>
      <c r="Q87" s="200"/>
      <c r="R87" s="201">
        <v>2</v>
      </c>
      <c r="S87" s="202">
        <f t="shared" si="34"/>
        <v>18</v>
      </c>
      <c r="T87" s="199">
        <v>5.3</v>
      </c>
      <c r="U87" s="199">
        <f t="shared" si="44"/>
        <v>4</v>
      </c>
      <c r="V87" s="199">
        <v>4</v>
      </c>
      <c r="W87" s="204">
        <v>2.25</v>
      </c>
      <c r="X87" s="200"/>
      <c r="Y87" s="332">
        <v>2.2999999999999998</v>
      </c>
      <c r="Z87" s="200"/>
      <c r="AA87" s="200"/>
      <c r="AB87" s="326">
        <v>2</v>
      </c>
      <c r="AC87" s="326"/>
      <c r="AD87" s="327"/>
      <c r="AE87" s="200"/>
      <c r="AF87" s="200"/>
      <c r="AG87" s="205"/>
      <c r="AH87" s="206">
        <f t="shared" si="35"/>
        <v>19.850000000000001</v>
      </c>
      <c r="AI87" s="213"/>
      <c r="AJ87" s="199"/>
      <c r="AK87" s="199"/>
      <c r="AL87" s="199"/>
      <c r="AM87" s="207"/>
      <c r="AN87" s="208">
        <f t="shared" si="36"/>
        <v>0</v>
      </c>
      <c r="AO87" s="214"/>
      <c r="AP87" s="214"/>
      <c r="AQ87" s="210">
        <f t="shared" si="37"/>
        <v>0</v>
      </c>
      <c r="AR87" s="211">
        <f t="shared" si="38"/>
        <v>37.85</v>
      </c>
      <c r="AS87" s="405">
        <f t="shared" si="39"/>
        <v>-2.3000000000000043</v>
      </c>
      <c r="AT87" s="355">
        <v>28.266666666666666</v>
      </c>
      <c r="AU87" s="356">
        <f t="shared" si="40"/>
        <v>13.333333333333334</v>
      </c>
      <c r="AV87" s="386">
        <f t="shared" si="41"/>
        <v>0</v>
      </c>
      <c r="AW87" s="358">
        <f t="shared" si="42"/>
        <v>0</v>
      </c>
      <c r="AX87" s="356">
        <f t="shared" si="43"/>
        <v>14.933333333333332</v>
      </c>
      <c r="AY87" s="387">
        <f t="shared" si="32"/>
        <v>0.47169811320754723</v>
      </c>
      <c r="AZ87" s="388">
        <f t="shared" si="33"/>
        <v>0.52830188679245282</v>
      </c>
      <c r="BA87" s="287">
        <v>1175391</v>
      </c>
      <c r="BB87" s="287">
        <f t="shared" si="17"/>
        <v>33063.037974683546</v>
      </c>
    </row>
    <row r="88" spans="1:54" ht="14.45" customHeight="1" thickBot="1" x14ac:dyDescent="0.3">
      <c r="A88" s="194" t="s">
        <v>904</v>
      </c>
      <c r="B88" s="219" t="s">
        <v>905</v>
      </c>
      <c r="C88" s="122" t="s">
        <v>114</v>
      </c>
      <c r="D88" s="123" t="s">
        <v>56</v>
      </c>
      <c r="E88" s="123"/>
      <c r="F88" s="123"/>
      <c r="G88" s="196"/>
      <c r="H88" s="196"/>
      <c r="I88" s="197"/>
      <c r="J88" s="197"/>
      <c r="K88" s="196" t="s">
        <v>429</v>
      </c>
      <c r="L88" s="212">
        <v>44</v>
      </c>
      <c r="M88" s="199">
        <v>20</v>
      </c>
      <c r="N88" s="199">
        <v>6</v>
      </c>
      <c r="O88" s="199"/>
      <c r="P88" s="199"/>
      <c r="Q88" s="200"/>
      <c r="R88" s="201" t="str">
        <f>IF(G88="x",1,"")</f>
        <v/>
      </c>
      <c r="S88" s="202">
        <f t="shared" si="34"/>
        <v>26</v>
      </c>
      <c r="T88" s="199">
        <f>10+3</f>
        <v>13</v>
      </c>
      <c r="U88" s="199" t="str">
        <f t="shared" si="44"/>
        <v/>
      </c>
      <c r="V88" s="199"/>
      <c r="W88" s="204">
        <v>2.25</v>
      </c>
      <c r="X88" s="200"/>
      <c r="Y88" s="200"/>
      <c r="Z88" s="200"/>
      <c r="AA88" s="200"/>
      <c r="AB88" s="326">
        <v>1</v>
      </c>
      <c r="AC88" s="326">
        <v>1</v>
      </c>
      <c r="AD88" s="327">
        <v>0.25</v>
      </c>
      <c r="AE88" s="200"/>
      <c r="AF88" s="200"/>
      <c r="AG88" s="205"/>
      <c r="AH88" s="206">
        <f t="shared" si="35"/>
        <v>17.5</v>
      </c>
      <c r="AI88" s="213"/>
      <c r="AJ88" s="199"/>
      <c r="AK88" s="199"/>
      <c r="AL88" s="199"/>
      <c r="AM88" s="207"/>
      <c r="AN88" s="208">
        <f t="shared" si="36"/>
        <v>0</v>
      </c>
      <c r="AO88" s="214"/>
      <c r="AP88" s="214"/>
      <c r="AQ88" s="210">
        <f t="shared" si="37"/>
        <v>0</v>
      </c>
      <c r="AR88" s="211">
        <f t="shared" si="38"/>
        <v>43.5</v>
      </c>
      <c r="AS88" s="405">
        <f t="shared" si="39"/>
        <v>0.5</v>
      </c>
      <c r="AT88" s="355">
        <v>31.641666666666666</v>
      </c>
      <c r="AU88" s="356">
        <f t="shared" si="40"/>
        <v>18</v>
      </c>
      <c r="AV88" s="386">
        <f t="shared" si="41"/>
        <v>0</v>
      </c>
      <c r="AW88" s="358">
        <f t="shared" si="42"/>
        <v>0</v>
      </c>
      <c r="AX88" s="356">
        <f t="shared" si="43"/>
        <v>13.641666666666666</v>
      </c>
      <c r="AY88" s="387">
        <f t="shared" si="32"/>
        <v>0.56887016065314722</v>
      </c>
      <c r="AZ88" s="388">
        <f t="shared" si="33"/>
        <v>0.43112983934685278</v>
      </c>
      <c r="BA88" s="287">
        <v>1800074</v>
      </c>
      <c r="BB88" s="287">
        <f t="shared" si="17"/>
        <v>40910.772727272728</v>
      </c>
    </row>
    <row r="89" spans="1:54" ht="15.75" thickBot="1" x14ac:dyDescent="0.3">
      <c r="A89" s="194" t="s">
        <v>834</v>
      </c>
      <c r="B89" s="195" t="s">
        <v>835</v>
      </c>
      <c r="C89" s="122" t="s">
        <v>114</v>
      </c>
      <c r="D89" s="123"/>
      <c r="E89" s="123"/>
      <c r="F89" s="123"/>
      <c r="G89" s="196" t="s">
        <v>609</v>
      </c>
      <c r="H89" s="196"/>
      <c r="I89" s="197"/>
      <c r="J89" s="197"/>
      <c r="K89" s="196"/>
      <c r="L89" s="212">
        <v>49</v>
      </c>
      <c r="M89" s="199">
        <v>17</v>
      </c>
      <c r="N89" s="199"/>
      <c r="O89" s="199"/>
      <c r="P89" s="199"/>
      <c r="Q89" s="200">
        <v>14</v>
      </c>
      <c r="R89" s="201">
        <f>IF(G89="x",1,"")</f>
        <v>1</v>
      </c>
      <c r="S89" s="202">
        <f t="shared" si="34"/>
        <v>32</v>
      </c>
      <c r="T89" s="199">
        <v>8.5</v>
      </c>
      <c r="U89" s="199">
        <v>5</v>
      </c>
      <c r="V89" s="199"/>
      <c r="W89" s="204">
        <v>2.25</v>
      </c>
      <c r="X89" s="200"/>
      <c r="Y89" s="200"/>
      <c r="Z89" s="200"/>
      <c r="AA89" s="200"/>
      <c r="AB89" s="326"/>
      <c r="AC89" s="326">
        <v>1</v>
      </c>
      <c r="AD89" s="327">
        <v>0.25</v>
      </c>
      <c r="AE89" s="200"/>
      <c r="AF89" s="200"/>
      <c r="AG89" s="205"/>
      <c r="AH89" s="206">
        <f t="shared" si="35"/>
        <v>17</v>
      </c>
      <c r="AI89" s="213"/>
      <c r="AJ89" s="199"/>
      <c r="AK89" s="199"/>
      <c r="AL89" s="199"/>
      <c r="AM89" s="207"/>
      <c r="AN89" s="208">
        <f t="shared" si="36"/>
        <v>0</v>
      </c>
      <c r="AO89" s="214"/>
      <c r="AP89" s="214"/>
      <c r="AQ89" s="210">
        <f t="shared" si="37"/>
        <v>0</v>
      </c>
      <c r="AR89" s="211">
        <f t="shared" si="38"/>
        <v>49</v>
      </c>
      <c r="AS89" s="405">
        <f t="shared" si="39"/>
        <v>0</v>
      </c>
      <c r="AT89" s="355">
        <v>35.283333333333331</v>
      </c>
      <c r="AU89" s="356">
        <f t="shared" si="40"/>
        <v>21.333333333333332</v>
      </c>
      <c r="AV89" s="386">
        <f t="shared" si="41"/>
        <v>0</v>
      </c>
      <c r="AW89" s="358">
        <f t="shared" si="42"/>
        <v>0</v>
      </c>
      <c r="AX89" s="356">
        <f t="shared" si="43"/>
        <v>13.95</v>
      </c>
      <c r="AY89" s="387">
        <f t="shared" si="32"/>
        <v>0.60462919225318845</v>
      </c>
      <c r="AZ89" s="388">
        <f t="shared" si="33"/>
        <v>0.39537080774681155</v>
      </c>
      <c r="BA89" s="287">
        <v>1456525</v>
      </c>
      <c r="BB89" s="287">
        <f t="shared" si="17"/>
        <v>29725</v>
      </c>
    </row>
    <row r="90" spans="1:54" ht="14.45" customHeight="1" thickBot="1" x14ac:dyDescent="0.3">
      <c r="A90" s="194" t="s">
        <v>908</v>
      </c>
      <c r="B90" s="195" t="s">
        <v>909</v>
      </c>
      <c r="C90" s="122" t="s">
        <v>80</v>
      </c>
      <c r="D90" s="123"/>
      <c r="E90" s="123"/>
      <c r="F90" s="123"/>
      <c r="G90" s="196"/>
      <c r="H90" s="196"/>
      <c r="I90" s="197"/>
      <c r="J90" s="197"/>
      <c r="K90" s="196" t="s">
        <v>762</v>
      </c>
      <c r="L90" s="212">
        <v>47</v>
      </c>
      <c r="M90" s="199">
        <v>38.5</v>
      </c>
      <c r="N90" s="199"/>
      <c r="O90" s="199"/>
      <c r="P90" s="199"/>
      <c r="Q90" s="200"/>
      <c r="R90" s="201" t="str">
        <f>IF(G90="x",1,"")</f>
        <v/>
      </c>
      <c r="S90" s="202">
        <f t="shared" si="34"/>
        <v>38.5</v>
      </c>
      <c r="T90" s="199">
        <v>5.25</v>
      </c>
      <c r="U90" s="199" t="str">
        <f>IF(G90="x",4,"")</f>
        <v/>
      </c>
      <c r="V90" s="199"/>
      <c r="W90" s="204">
        <v>2.25</v>
      </c>
      <c r="X90" s="200"/>
      <c r="Y90" s="200"/>
      <c r="Z90" s="200"/>
      <c r="AA90" s="200"/>
      <c r="AB90" s="326"/>
      <c r="AC90" s="326"/>
      <c r="AD90" s="327"/>
      <c r="AE90" s="200"/>
      <c r="AF90" s="200">
        <v>2</v>
      </c>
      <c r="AG90" s="205" t="s">
        <v>763</v>
      </c>
      <c r="AH90" s="206">
        <f t="shared" si="35"/>
        <v>9.5</v>
      </c>
      <c r="AI90" s="213"/>
      <c r="AJ90" s="199"/>
      <c r="AK90" s="199"/>
      <c r="AL90" s="199"/>
      <c r="AM90" s="207"/>
      <c r="AN90" s="208">
        <f t="shared" si="36"/>
        <v>0</v>
      </c>
      <c r="AO90" s="214"/>
      <c r="AP90" s="214"/>
      <c r="AQ90" s="210">
        <f t="shared" si="37"/>
        <v>0</v>
      </c>
      <c r="AR90" s="211">
        <f t="shared" si="38"/>
        <v>48</v>
      </c>
      <c r="AS90" s="405">
        <f t="shared" si="39"/>
        <v>-1</v>
      </c>
      <c r="AT90" s="355">
        <v>33.633333333333333</v>
      </c>
      <c r="AU90" s="356">
        <f t="shared" si="40"/>
        <v>25.666666666666668</v>
      </c>
      <c r="AV90" s="386">
        <f t="shared" si="41"/>
        <v>0</v>
      </c>
      <c r="AW90" s="358">
        <f t="shared" si="42"/>
        <v>0</v>
      </c>
      <c r="AX90" s="356">
        <f t="shared" si="43"/>
        <v>7.966666666666665</v>
      </c>
      <c r="AY90" s="409">
        <f t="shared" si="32"/>
        <v>0.76313181367690786</v>
      </c>
      <c r="AZ90" s="410">
        <f t="shared" si="33"/>
        <v>0.23686818632309212</v>
      </c>
      <c r="BA90" s="287">
        <v>1296000</v>
      </c>
      <c r="BB90" s="287">
        <f t="shared" si="17"/>
        <v>27574.468085106382</v>
      </c>
    </row>
    <row r="91" spans="1:54" ht="14.45" customHeight="1" thickBot="1" x14ac:dyDescent="0.3">
      <c r="A91" s="194" t="s">
        <v>910</v>
      </c>
      <c r="B91" s="195" t="s">
        <v>911</v>
      </c>
      <c r="C91" s="122" t="s">
        <v>56</v>
      </c>
      <c r="D91" s="123"/>
      <c r="E91" s="123"/>
      <c r="F91" s="123"/>
      <c r="G91" s="196" t="s">
        <v>609</v>
      </c>
      <c r="H91" s="196"/>
      <c r="I91" s="197"/>
      <c r="J91" s="197"/>
      <c r="K91" s="196" t="s">
        <v>349</v>
      </c>
      <c r="L91" s="212">
        <v>52.75</v>
      </c>
      <c r="M91" s="199">
        <v>12</v>
      </c>
      <c r="N91" s="199"/>
      <c r="O91" s="199"/>
      <c r="P91" s="199"/>
      <c r="Q91" s="200"/>
      <c r="R91" s="201">
        <v>1</v>
      </c>
      <c r="S91" s="202">
        <f t="shared" si="34"/>
        <v>13</v>
      </c>
      <c r="T91" s="199">
        <f>IF($C91="",0,VLOOKUP($C91,[5]Hoja1!$C$11:$D$27,2,FALSE)*M91)+IF($D91="",0,VLOOKUP($D91,[5]Hoja1!$C$11:$D$27,2,FALSE)*N91)+IF($F91="",0,VLOOKUP($F91,[5]Hoja1!$C$11:$D$27,2,FALSE)*P91)+IF(R91="",0,R91*0.5)</f>
        <v>6.5</v>
      </c>
      <c r="U91" s="199">
        <f>IF(G91="x",4,"")</f>
        <v>4</v>
      </c>
      <c r="V91" s="199">
        <v>4</v>
      </c>
      <c r="W91" s="204">
        <v>2.25</v>
      </c>
      <c r="X91" s="200"/>
      <c r="Y91" s="200"/>
      <c r="Z91" s="200"/>
      <c r="AA91" s="200"/>
      <c r="AB91" s="326">
        <v>1</v>
      </c>
      <c r="AC91" s="326"/>
      <c r="AD91" s="327"/>
      <c r="AE91" s="200"/>
      <c r="AF91" s="200"/>
      <c r="AG91" s="205"/>
      <c r="AH91" s="206">
        <f t="shared" si="35"/>
        <v>17.75</v>
      </c>
      <c r="AI91" s="213"/>
      <c r="AJ91" s="199"/>
      <c r="AK91" s="199"/>
      <c r="AL91" s="199">
        <f>15+5+2</f>
        <v>22</v>
      </c>
      <c r="AM91" s="207" t="s">
        <v>912</v>
      </c>
      <c r="AN91" s="208">
        <f t="shared" si="36"/>
        <v>22</v>
      </c>
      <c r="AO91" s="214"/>
      <c r="AP91" s="214"/>
      <c r="AQ91" s="210">
        <f t="shared" si="37"/>
        <v>0</v>
      </c>
      <c r="AR91" s="211">
        <f t="shared" si="38"/>
        <v>52.75</v>
      </c>
      <c r="AS91" s="405">
        <f t="shared" si="39"/>
        <v>0</v>
      </c>
      <c r="AT91" s="355">
        <v>37.200000000000003</v>
      </c>
      <c r="AU91" s="356">
        <f t="shared" si="40"/>
        <v>9.3333333333333339</v>
      </c>
      <c r="AV91" s="386">
        <f t="shared" si="41"/>
        <v>14.666666666666666</v>
      </c>
      <c r="AW91" s="358">
        <f t="shared" si="42"/>
        <v>0</v>
      </c>
      <c r="AX91" s="356">
        <f t="shared" si="43"/>
        <v>13.200000000000001</v>
      </c>
      <c r="AY91" s="387">
        <f t="shared" si="32"/>
        <v>0.41420118343195267</v>
      </c>
      <c r="AZ91" s="388">
        <f t="shared" si="33"/>
        <v>0.58579881656804733</v>
      </c>
      <c r="BA91" s="287">
        <v>2793079</v>
      </c>
      <c r="BB91" s="287">
        <f t="shared" si="17"/>
        <v>52949.364928909956</v>
      </c>
    </row>
    <row r="92" spans="1:54" ht="15.75" thickBot="1" x14ac:dyDescent="0.3">
      <c r="A92" s="194" t="s">
        <v>717</v>
      </c>
      <c r="B92" s="195" t="s">
        <v>718</v>
      </c>
      <c r="C92" s="122" t="s">
        <v>114</v>
      </c>
      <c r="D92" s="123"/>
      <c r="E92" s="123"/>
      <c r="F92" s="123"/>
      <c r="G92" s="196" t="s">
        <v>609</v>
      </c>
      <c r="H92" s="196"/>
      <c r="I92" s="197"/>
      <c r="J92" s="197"/>
      <c r="K92" s="196"/>
      <c r="L92" s="212">
        <v>49</v>
      </c>
      <c r="M92" s="199">
        <v>15</v>
      </c>
      <c r="N92" s="199"/>
      <c r="O92" s="199"/>
      <c r="P92" s="199"/>
      <c r="Q92" s="200">
        <v>17</v>
      </c>
      <c r="R92" s="201">
        <f>IF(G92="x",1,"")</f>
        <v>1</v>
      </c>
      <c r="S92" s="202">
        <f t="shared" si="34"/>
        <v>33</v>
      </c>
      <c r="T92" s="333">
        <v>7.5</v>
      </c>
      <c r="U92" s="199">
        <v>5</v>
      </c>
      <c r="V92" s="199"/>
      <c r="W92" s="204">
        <v>2.25</v>
      </c>
      <c r="X92" s="200"/>
      <c r="Y92" s="200"/>
      <c r="Z92" s="200"/>
      <c r="AA92" s="200"/>
      <c r="AB92" s="326"/>
      <c r="AC92" s="326">
        <v>1</v>
      </c>
      <c r="AD92" s="327">
        <v>0.25</v>
      </c>
      <c r="AE92" s="200"/>
      <c r="AF92" s="200"/>
      <c r="AG92" s="205"/>
      <c r="AH92" s="206">
        <f t="shared" si="35"/>
        <v>16</v>
      </c>
      <c r="AI92" s="213"/>
      <c r="AJ92" s="199"/>
      <c r="AK92" s="199"/>
      <c r="AL92" s="199"/>
      <c r="AM92" s="207"/>
      <c r="AN92" s="208">
        <f t="shared" si="36"/>
        <v>0</v>
      </c>
      <c r="AO92" s="214"/>
      <c r="AP92" s="214"/>
      <c r="AQ92" s="210">
        <f t="shared" si="37"/>
        <v>0</v>
      </c>
      <c r="AR92" s="211">
        <f t="shared" si="38"/>
        <v>49</v>
      </c>
      <c r="AS92" s="405">
        <f t="shared" si="39"/>
        <v>0</v>
      </c>
      <c r="AT92" s="355">
        <v>36.283333333333331</v>
      </c>
      <c r="AU92" s="356">
        <f t="shared" si="40"/>
        <v>22</v>
      </c>
      <c r="AV92" s="386">
        <f t="shared" si="41"/>
        <v>0</v>
      </c>
      <c r="AW92" s="358">
        <f t="shared" si="42"/>
        <v>0</v>
      </c>
      <c r="AX92" s="356">
        <f t="shared" si="43"/>
        <v>14.283333333333331</v>
      </c>
      <c r="AY92" s="387">
        <f t="shared" si="32"/>
        <v>0.60633899862195684</v>
      </c>
      <c r="AZ92" s="388">
        <f t="shared" si="33"/>
        <v>0.39366100137804316</v>
      </c>
      <c r="BA92" s="287">
        <v>1452893</v>
      </c>
      <c r="BB92" s="287">
        <f t="shared" si="17"/>
        <v>29650.877551020407</v>
      </c>
    </row>
    <row r="93" spans="1:54" ht="15.75" thickBot="1" x14ac:dyDescent="0.3">
      <c r="A93" s="194" t="s">
        <v>862</v>
      </c>
      <c r="B93" s="195" t="s">
        <v>863</v>
      </c>
      <c r="C93" s="122" t="s">
        <v>114</v>
      </c>
      <c r="D93" s="123"/>
      <c r="E93" s="123"/>
      <c r="F93" s="123"/>
      <c r="G93" s="196" t="s">
        <v>609</v>
      </c>
      <c r="H93" s="196"/>
      <c r="I93" s="197"/>
      <c r="J93" s="197"/>
      <c r="K93" s="196"/>
      <c r="L93" s="212">
        <v>49</v>
      </c>
      <c r="M93" s="199">
        <v>15</v>
      </c>
      <c r="N93" s="199"/>
      <c r="O93" s="199"/>
      <c r="P93" s="199"/>
      <c r="Q93" s="200">
        <v>17</v>
      </c>
      <c r="R93" s="201">
        <f>IF(G93="x",1,"")</f>
        <v>1</v>
      </c>
      <c r="S93" s="202">
        <f t="shared" si="34"/>
        <v>33</v>
      </c>
      <c r="T93" s="199">
        <v>7.5</v>
      </c>
      <c r="U93" s="199">
        <v>5</v>
      </c>
      <c r="V93" s="199"/>
      <c r="W93" s="204">
        <v>2.25</v>
      </c>
      <c r="X93" s="200"/>
      <c r="Y93" s="200"/>
      <c r="Z93" s="200"/>
      <c r="AA93" s="200"/>
      <c r="AB93" s="326"/>
      <c r="AC93" s="326">
        <v>1</v>
      </c>
      <c r="AD93" s="327">
        <v>0.25</v>
      </c>
      <c r="AE93" s="200"/>
      <c r="AF93" s="200"/>
      <c r="AG93" s="205"/>
      <c r="AH93" s="206">
        <f t="shared" si="35"/>
        <v>16</v>
      </c>
      <c r="AI93" s="213"/>
      <c r="AJ93" s="199"/>
      <c r="AK93" s="199"/>
      <c r="AL93" s="199"/>
      <c r="AM93" s="207"/>
      <c r="AN93" s="208">
        <f t="shared" si="36"/>
        <v>0</v>
      </c>
      <c r="AO93" s="214"/>
      <c r="AP93" s="214"/>
      <c r="AQ93" s="210">
        <f t="shared" si="37"/>
        <v>0</v>
      </c>
      <c r="AR93" s="211">
        <f t="shared" si="38"/>
        <v>49</v>
      </c>
      <c r="AS93" s="405">
        <f t="shared" si="39"/>
        <v>0</v>
      </c>
      <c r="AT93" s="355">
        <v>35.283333333333331</v>
      </c>
      <c r="AU93" s="356">
        <f t="shared" si="40"/>
        <v>22</v>
      </c>
      <c r="AV93" s="386">
        <f t="shared" si="41"/>
        <v>0</v>
      </c>
      <c r="AW93" s="358">
        <f t="shared" si="42"/>
        <v>0</v>
      </c>
      <c r="AX93" s="356">
        <f t="shared" si="43"/>
        <v>13.283333333333331</v>
      </c>
      <c r="AY93" s="387">
        <f t="shared" si="32"/>
        <v>0.62352385451110059</v>
      </c>
      <c r="AZ93" s="388">
        <f t="shared" si="33"/>
        <v>0.37647614548889935</v>
      </c>
      <c r="BA93" s="287">
        <v>1452932</v>
      </c>
      <c r="BB93" s="287">
        <f t="shared" si="17"/>
        <v>29651.673469387755</v>
      </c>
    </row>
    <row r="94" spans="1:54" ht="13.9" customHeight="1" thickBot="1" x14ac:dyDescent="0.3">
      <c r="A94" s="220" t="s">
        <v>918</v>
      </c>
      <c r="B94" s="221" t="s">
        <v>919</v>
      </c>
      <c r="C94" s="222" t="s">
        <v>109</v>
      </c>
      <c r="D94" s="223"/>
      <c r="E94" s="223"/>
      <c r="F94" s="223"/>
      <c r="G94" s="224" t="s">
        <v>609</v>
      </c>
      <c r="H94" s="224" t="s">
        <v>609</v>
      </c>
      <c r="I94" s="225"/>
      <c r="J94" s="225"/>
      <c r="K94" s="224" t="s">
        <v>290</v>
      </c>
      <c r="L94" s="226">
        <v>41.75</v>
      </c>
      <c r="M94" s="227">
        <v>13</v>
      </c>
      <c r="N94" s="227"/>
      <c r="O94" s="227"/>
      <c r="P94" s="227"/>
      <c r="Q94" s="228"/>
      <c r="R94" s="229">
        <v>2</v>
      </c>
      <c r="S94" s="230">
        <f t="shared" si="34"/>
        <v>15</v>
      </c>
      <c r="T94" s="227">
        <v>7</v>
      </c>
      <c r="U94" s="227">
        <f>IF(G94="x",4,"")</f>
        <v>4</v>
      </c>
      <c r="V94" s="227">
        <v>4</v>
      </c>
      <c r="W94" s="231">
        <v>2.25</v>
      </c>
      <c r="X94" s="228"/>
      <c r="Y94" s="228"/>
      <c r="Z94" s="228"/>
      <c r="AA94" s="228"/>
      <c r="AB94" s="328">
        <v>1</v>
      </c>
      <c r="AC94" s="328"/>
      <c r="AD94" s="329">
        <v>0.5</v>
      </c>
      <c r="AE94" s="228"/>
      <c r="AF94" s="228"/>
      <c r="AG94" s="232"/>
      <c r="AH94" s="233">
        <f t="shared" si="35"/>
        <v>18.75</v>
      </c>
      <c r="AI94" s="234"/>
      <c r="AJ94" s="227">
        <v>8</v>
      </c>
      <c r="AK94" s="227"/>
      <c r="AL94" s="227"/>
      <c r="AM94" s="235"/>
      <c r="AN94" s="236">
        <f t="shared" si="36"/>
        <v>8</v>
      </c>
      <c r="AO94" s="237"/>
      <c r="AP94" s="237"/>
      <c r="AQ94" s="238">
        <f t="shared" si="37"/>
        <v>0</v>
      </c>
      <c r="AR94" s="239">
        <f t="shared" si="38"/>
        <v>41.75</v>
      </c>
      <c r="AS94" s="406">
        <f t="shared" si="39"/>
        <v>0</v>
      </c>
      <c r="AT94" s="362">
        <v>29.2</v>
      </c>
      <c r="AU94" s="363">
        <f t="shared" si="40"/>
        <v>10.666666666666666</v>
      </c>
      <c r="AV94" s="383">
        <f t="shared" si="41"/>
        <v>5.333333333333333</v>
      </c>
      <c r="AW94" s="365">
        <f t="shared" si="42"/>
        <v>0</v>
      </c>
      <c r="AX94" s="363">
        <f t="shared" si="43"/>
        <v>13.2</v>
      </c>
      <c r="AY94" s="384">
        <f t="shared" si="32"/>
        <v>0.44692737430167595</v>
      </c>
      <c r="AZ94" s="385">
        <f t="shared" si="33"/>
        <v>0.55307262569832394</v>
      </c>
      <c r="BA94" s="287">
        <v>2140811</v>
      </c>
      <c r="BB94" s="287">
        <f t="shared" si="17"/>
        <v>51276.910179640719</v>
      </c>
    </row>
    <row r="95" spans="1:54" s="324" customFormat="1" ht="15" x14ac:dyDescent="0.25">
      <c r="L95" s="325">
        <f t="shared" ref="L95:AX95" si="45">SUM(L4:L94)</f>
        <v>3787.15</v>
      </c>
      <c r="M95" s="325">
        <f t="shared" si="45"/>
        <v>1524</v>
      </c>
      <c r="N95" s="325">
        <f t="shared" si="45"/>
        <v>64</v>
      </c>
      <c r="O95" s="325">
        <f t="shared" si="45"/>
        <v>0</v>
      </c>
      <c r="P95" s="325">
        <f t="shared" si="45"/>
        <v>0</v>
      </c>
      <c r="Q95" s="325">
        <f t="shared" si="45"/>
        <v>176</v>
      </c>
      <c r="R95" s="325">
        <f t="shared" si="45"/>
        <v>64.5</v>
      </c>
      <c r="S95" s="325">
        <f t="shared" si="45"/>
        <v>1828.5</v>
      </c>
      <c r="T95" s="325">
        <f t="shared" si="45"/>
        <v>604.45000000000005</v>
      </c>
      <c r="U95" s="325">
        <f t="shared" si="45"/>
        <v>208</v>
      </c>
      <c r="V95" s="325">
        <f t="shared" si="45"/>
        <v>126</v>
      </c>
      <c r="W95" s="325">
        <f t="shared" si="45"/>
        <v>202.5</v>
      </c>
      <c r="X95" s="325">
        <f t="shared" si="45"/>
        <v>5</v>
      </c>
      <c r="Y95" s="325">
        <f t="shared" si="45"/>
        <v>140.87</v>
      </c>
      <c r="Z95" s="325">
        <f t="shared" si="45"/>
        <v>18</v>
      </c>
      <c r="AA95" s="325">
        <f t="shared" si="45"/>
        <v>7</v>
      </c>
      <c r="AB95" s="325">
        <f t="shared" si="45"/>
        <v>96.8</v>
      </c>
      <c r="AC95" s="325">
        <f t="shared" si="45"/>
        <v>42.75</v>
      </c>
      <c r="AD95" s="325">
        <f t="shared" si="45"/>
        <v>34.5</v>
      </c>
      <c r="AE95" s="325">
        <f t="shared" si="45"/>
        <v>0</v>
      </c>
      <c r="AF95" s="325">
        <f t="shared" si="45"/>
        <v>105.5</v>
      </c>
      <c r="AG95" s="325">
        <f t="shared" si="45"/>
        <v>0</v>
      </c>
      <c r="AH95" s="325">
        <f t="shared" si="45"/>
        <v>1591.3699999999997</v>
      </c>
      <c r="AI95" s="325">
        <f t="shared" si="45"/>
        <v>185.75</v>
      </c>
      <c r="AJ95" s="325">
        <f t="shared" si="45"/>
        <v>114</v>
      </c>
      <c r="AK95" s="325">
        <f t="shared" si="45"/>
        <v>0</v>
      </c>
      <c r="AL95" s="325">
        <f t="shared" si="45"/>
        <v>39</v>
      </c>
      <c r="AM95" s="325">
        <f t="shared" si="45"/>
        <v>0</v>
      </c>
      <c r="AN95" s="325">
        <f t="shared" si="45"/>
        <v>338.75</v>
      </c>
      <c r="AO95" s="325">
        <f t="shared" si="45"/>
        <v>38.94</v>
      </c>
      <c r="AP95" s="325">
        <f t="shared" si="45"/>
        <v>0</v>
      </c>
      <c r="AQ95" s="325">
        <f t="shared" si="45"/>
        <v>38.94</v>
      </c>
      <c r="AR95" s="325">
        <f t="shared" si="45"/>
        <v>3797.5599999999995</v>
      </c>
      <c r="AS95" s="325">
        <f t="shared" si="45"/>
        <v>-10.410000000000007</v>
      </c>
      <c r="AT95" s="325">
        <v>2767.82</v>
      </c>
      <c r="AU95" s="325">
        <f t="shared" si="45"/>
        <v>1283.5333333333333</v>
      </c>
      <c r="AV95" s="325">
        <f t="shared" si="45"/>
        <v>225.83333333333334</v>
      </c>
      <c r="AW95" s="325">
        <f t="shared" si="45"/>
        <v>25.960000000000015</v>
      </c>
      <c r="AX95" s="325">
        <f t="shared" si="45"/>
        <v>1232.4933333333331</v>
      </c>
      <c r="AY95" s="302">
        <f>AVERAGE(AY13:AY94)</f>
        <v>0.50038377137417267</v>
      </c>
      <c r="AZ95" s="302">
        <f>AVERAGE(AZ13:AZ94)</f>
        <v>0.49961622862582722</v>
      </c>
      <c r="BA95" s="303">
        <f>AVERAGE(BA4:BA94)</f>
        <v>1615429.4065934066</v>
      </c>
      <c r="BB95" s="303">
        <f>AVERAGE(BB4:BB94)</f>
        <v>38914.488600842407</v>
      </c>
    </row>
    <row r="96" spans="1:54" ht="15" x14ac:dyDescent="0.25">
      <c r="AW96" s="193" t="s">
        <v>1196</v>
      </c>
      <c r="AY96" s="417">
        <v>0.46</v>
      </c>
      <c r="AZ96" s="417">
        <v>0.54</v>
      </c>
      <c r="BA96" s="287"/>
      <c r="BB96" s="287"/>
    </row>
    <row r="97" spans="4:54" ht="15" x14ac:dyDescent="0.25">
      <c r="D97" s="335" t="s">
        <v>1202</v>
      </c>
      <c r="BB97" s="287"/>
    </row>
    <row r="98" spans="4:54" x14ac:dyDescent="0.2">
      <c r="S98" s="298"/>
      <c r="AG98" s="298"/>
    </row>
    <row r="99" spans="4:54" ht="15" x14ac:dyDescent="0.25">
      <c r="D99" s="418" t="s">
        <v>1201</v>
      </c>
    </row>
    <row r="101" spans="4:54" x14ac:dyDescent="0.2">
      <c r="D101" s="193" t="s">
        <v>1203</v>
      </c>
    </row>
  </sheetData>
  <autoFilter ref="A3:AZ96">
    <sortState ref="A4:AZ95">
      <sortCondition ref="Q3:Q96"/>
    </sortState>
  </autoFilter>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'C:\Users\Constanza Nieto\Documents\Seduc\MODELO HNL y Asigna\2025\Distribución Horas\Recibido\[Distribución de Horas Los Alerces 2025(cn).xlsx]Hoja1'!#REF!</xm:f>
          </x14:formula1>
          <xm:sqref>K4:K94 C4:F94 J4:J30 J32:J94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54"/>
  <sheetViews>
    <sheetView zoomScale="80" zoomScaleNormal="80" workbookViewId="0">
      <pane xSplit="3" ySplit="3" topLeftCell="Q4" activePane="bottomRight" state="frozen"/>
      <selection pane="topRight" activeCell="D1" sqref="D1"/>
      <selection pane="bottomLeft" activeCell="A4" sqref="A4"/>
      <selection pane="bottomRight" activeCell="AS3" sqref="AS3"/>
    </sheetView>
  </sheetViews>
  <sheetFormatPr baseColWidth="10" defaultRowHeight="15" x14ac:dyDescent="0.25"/>
  <cols>
    <col min="3" max="11" width="4.28515625" customWidth="1"/>
    <col min="12" max="12" width="6.28515625" customWidth="1"/>
    <col min="13" max="18" width="4.28515625" customWidth="1"/>
    <col min="19" max="19" width="5.42578125" customWidth="1"/>
    <col min="20" max="21" width="6.7109375" customWidth="1"/>
    <col min="22" max="22" width="5.7109375" customWidth="1"/>
    <col min="23" max="23" width="5.140625" customWidth="1"/>
    <col min="24" max="24" width="4.5703125" customWidth="1"/>
    <col min="25" max="33" width="5.140625" customWidth="1"/>
    <col min="34" max="34" width="6.7109375" customWidth="1"/>
    <col min="35" max="40" width="7.140625" customWidth="1"/>
    <col min="41" max="43" width="7.7109375" customWidth="1"/>
    <col min="44" max="45" width="7.85546875" customWidth="1"/>
    <col min="46" max="46" width="5.42578125" style="193" bestFit="1" customWidth="1"/>
    <col min="47" max="48" width="4" style="193" bestFit="1" customWidth="1"/>
    <col min="49" max="49" width="3.7109375" style="193" bestFit="1" customWidth="1"/>
    <col min="50" max="50" width="4" style="193" bestFit="1" customWidth="1"/>
    <col min="51" max="51" width="4.28515625" style="335" bestFit="1" customWidth="1"/>
    <col min="52" max="52" width="6.7109375" style="335" customWidth="1"/>
    <col min="53" max="54" width="10.85546875" customWidth="1"/>
  </cols>
  <sheetData>
    <row r="1" spans="1:54" ht="21.75" thickBot="1" x14ac:dyDescent="0.4">
      <c r="A1" s="109" t="s">
        <v>606</v>
      </c>
      <c r="B1" s="110"/>
      <c r="C1" s="110"/>
      <c r="D1" s="110"/>
      <c r="E1" s="110"/>
      <c r="F1" s="110"/>
      <c r="G1" s="110"/>
      <c r="H1" s="111"/>
      <c r="I1" s="111"/>
      <c r="J1" s="111"/>
      <c r="K1" s="111"/>
      <c r="L1" s="112"/>
      <c r="M1" s="110"/>
      <c r="N1" s="110"/>
      <c r="O1" s="110"/>
      <c r="P1" s="110"/>
      <c r="Q1" s="113"/>
      <c r="R1" s="114"/>
      <c r="S1" s="115"/>
      <c r="T1" s="110"/>
      <c r="U1" s="116"/>
      <c r="V1" s="110"/>
      <c r="W1" s="117"/>
      <c r="X1" s="110"/>
      <c r="Y1" s="110"/>
      <c r="Z1" s="110"/>
      <c r="AA1" s="110"/>
      <c r="AB1" s="110"/>
      <c r="AC1" s="110"/>
      <c r="AD1" s="110"/>
      <c r="AE1" s="110"/>
      <c r="AF1" s="110"/>
      <c r="AG1" s="110"/>
      <c r="AH1" s="118"/>
      <c r="AI1" s="110"/>
      <c r="AJ1" s="110"/>
      <c r="AK1" s="110"/>
      <c r="AL1" s="110"/>
      <c r="AM1" s="119"/>
      <c r="AN1" s="118"/>
      <c r="AO1" s="110"/>
      <c r="AP1" s="110"/>
      <c r="AQ1" s="117"/>
      <c r="AR1" s="120"/>
      <c r="AS1" s="110"/>
    </row>
    <row r="2" spans="1:54" ht="21.75" thickBot="1" x14ac:dyDescent="0.4">
      <c r="A2" s="109"/>
      <c r="B2" s="110"/>
      <c r="C2" s="110"/>
      <c r="D2" s="110"/>
      <c r="E2" s="110"/>
      <c r="F2" s="110"/>
      <c r="G2" s="110"/>
      <c r="H2" s="111"/>
      <c r="I2" s="111"/>
      <c r="J2" s="111"/>
      <c r="K2" s="111"/>
      <c r="L2" s="112"/>
      <c r="M2" s="110"/>
      <c r="N2" s="110"/>
      <c r="O2" s="110"/>
      <c r="P2" s="110"/>
      <c r="Q2" s="113"/>
      <c r="R2" s="114"/>
      <c r="S2" s="115"/>
      <c r="T2" s="110"/>
      <c r="U2" s="116"/>
      <c r="V2" s="110"/>
      <c r="W2" s="117"/>
      <c r="X2" s="110"/>
      <c r="Y2" s="110"/>
      <c r="Z2" s="110"/>
      <c r="AA2" s="110"/>
      <c r="AB2" s="110"/>
      <c r="AC2" s="110"/>
      <c r="AD2" s="110"/>
      <c r="AE2" s="110"/>
      <c r="AF2" s="110"/>
      <c r="AG2" s="110"/>
      <c r="AH2" s="118"/>
      <c r="AI2" s="110"/>
      <c r="AJ2" s="110"/>
      <c r="AK2" s="110"/>
      <c r="AL2" s="110"/>
      <c r="AM2" s="119"/>
      <c r="AN2" s="118"/>
      <c r="AO2" s="110"/>
      <c r="AP2" s="110"/>
      <c r="AQ2" s="117"/>
      <c r="AR2" s="120"/>
      <c r="AS2" s="110"/>
      <c r="AT2" s="345" t="s">
        <v>1187</v>
      </c>
      <c r="AU2" s="381"/>
      <c r="AV2" s="413"/>
      <c r="AW2" s="413"/>
      <c r="AX2" s="413"/>
      <c r="AY2" s="419"/>
      <c r="AZ2" s="420"/>
    </row>
    <row r="3" spans="1:54" ht="112.15" customHeight="1" thickBot="1" x14ac:dyDescent="0.3">
      <c r="A3" s="3" t="s">
        <v>1</v>
      </c>
      <c r="B3" s="3" t="s">
        <v>2</v>
      </c>
      <c r="C3" s="10" t="s">
        <v>3</v>
      </c>
      <c r="D3" s="11" t="s">
        <v>4</v>
      </c>
      <c r="E3" s="11" t="s">
        <v>5</v>
      </c>
      <c r="F3" s="11" t="s">
        <v>6</v>
      </c>
      <c r="G3" s="11" t="s">
        <v>7</v>
      </c>
      <c r="H3" s="11" t="s">
        <v>8</v>
      </c>
      <c r="I3" s="11" t="s">
        <v>9</v>
      </c>
      <c r="J3" s="11" t="s">
        <v>10</v>
      </c>
      <c r="K3" s="12" t="s">
        <v>11</v>
      </c>
      <c r="L3" s="253" t="s">
        <v>0</v>
      </c>
      <c r="M3" s="10" t="s">
        <v>1082</v>
      </c>
      <c r="N3" s="13" t="s">
        <v>1083</v>
      </c>
      <c r="O3" s="13" t="s">
        <v>1084</v>
      </c>
      <c r="P3" s="13" t="s">
        <v>1085</v>
      </c>
      <c r="Q3" s="11" t="s">
        <v>1086</v>
      </c>
      <c r="R3" s="14" t="s">
        <v>12</v>
      </c>
      <c r="S3" s="15" t="s">
        <v>13</v>
      </c>
      <c r="T3" s="240" t="s">
        <v>14</v>
      </c>
      <c r="U3" s="241" t="s">
        <v>15</v>
      </c>
      <c r="V3" s="242" t="s">
        <v>16</v>
      </c>
      <c r="W3" s="243" t="s">
        <v>17</v>
      </c>
      <c r="X3" s="242" t="s">
        <v>18</v>
      </c>
      <c r="Y3" s="242" t="s">
        <v>19</v>
      </c>
      <c r="Z3" s="241" t="s">
        <v>20</v>
      </c>
      <c r="AA3" s="241" t="s">
        <v>21</v>
      </c>
      <c r="AB3" s="244" t="s">
        <v>22</v>
      </c>
      <c r="AC3" s="245" t="s">
        <v>23</v>
      </c>
      <c r="AD3" s="241" t="s">
        <v>24</v>
      </c>
      <c r="AE3" s="242" t="s">
        <v>25</v>
      </c>
      <c r="AF3" s="241" t="s">
        <v>26</v>
      </c>
      <c r="AG3" s="242" t="s">
        <v>27</v>
      </c>
      <c r="AH3" s="246" t="s">
        <v>28</v>
      </c>
      <c r="AI3" s="240" t="s">
        <v>29</v>
      </c>
      <c r="AJ3" s="241" t="s">
        <v>30</v>
      </c>
      <c r="AK3" s="247" t="s">
        <v>31</v>
      </c>
      <c r="AL3" s="241" t="s">
        <v>32</v>
      </c>
      <c r="AM3" s="242" t="s">
        <v>33</v>
      </c>
      <c r="AN3" s="248" t="s">
        <v>34</v>
      </c>
      <c r="AO3" s="249" t="s">
        <v>35</v>
      </c>
      <c r="AP3" s="250" t="s">
        <v>36</v>
      </c>
      <c r="AQ3" s="251" t="s">
        <v>37</v>
      </c>
      <c r="AR3" s="252" t="s">
        <v>38</v>
      </c>
      <c r="AS3" s="342" t="s">
        <v>39</v>
      </c>
      <c r="AT3" s="349" t="s">
        <v>40</v>
      </c>
      <c r="AU3" s="350" t="s">
        <v>41</v>
      </c>
      <c r="AV3" s="414" t="s">
        <v>42</v>
      </c>
      <c r="AW3" s="414" t="s">
        <v>1182</v>
      </c>
      <c r="AX3" s="350" t="s">
        <v>44</v>
      </c>
      <c r="AY3" s="421" t="s">
        <v>1183</v>
      </c>
      <c r="AZ3" s="422" t="s">
        <v>1184</v>
      </c>
      <c r="BA3" s="16" t="s">
        <v>1191</v>
      </c>
      <c r="BB3" s="16" t="s">
        <v>1192</v>
      </c>
    </row>
    <row r="4" spans="1:54" ht="15.75" thickBot="1" x14ac:dyDescent="0.3">
      <c r="A4" s="121" t="s">
        <v>607</v>
      </c>
      <c r="B4" s="121" t="s">
        <v>608</v>
      </c>
      <c r="C4" s="122" t="s">
        <v>64</v>
      </c>
      <c r="D4" s="123"/>
      <c r="E4" s="123"/>
      <c r="F4" s="123"/>
      <c r="G4" s="124" t="s">
        <v>609</v>
      </c>
      <c r="H4" s="124"/>
      <c r="I4" s="124"/>
      <c r="J4" s="125"/>
      <c r="K4" s="124"/>
      <c r="L4" s="126">
        <v>54</v>
      </c>
      <c r="M4" s="127">
        <v>20</v>
      </c>
      <c r="N4" s="127"/>
      <c r="O4" s="127"/>
      <c r="P4" s="127"/>
      <c r="Q4" s="128"/>
      <c r="R4" s="23">
        <f>IF(G4="x",1,"")</f>
        <v>1</v>
      </c>
      <c r="S4" s="129">
        <f>SUM(M4:R4)</f>
        <v>21</v>
      </c>
      <c r="T4" s="130">
        <f>IF($C4="",0,VLOOKUP($C4,[6]Hoja1!$C$11:$D$27,2,FALSE)*M4)+IF($D4="",0,VLOOKUP($D4,[6]Hoja1!$C$11:$D$27,2,FALSE)*N4)+IF($F4="",0,VLOOKUP($F4,[6]Hoja1!$C$11:$D$27,2,FALSE)*P4)+IF(R4="",0,R4*0.5)</f>
        <v>10.5</v>
      </c>
      <c r="U4" s="131">
        <f>IF(G4="x",5,"")</f>
        <v>5</v>
      </c>
      <c r="V4" s="132">
        <v>0</v>
      </c>
      <c r="W4" s="133">
        <v>1.5</v>
      </c>
      <c r="X4" s="128"/>
      <c r="Y4" s="128"/>
      <c r="Z4" s="128"/>
      <c r="AA4" s="128"/>
      <c r="AB4" s="128">
        <v>2</v>
      </c>
      <c r="AC4" s="128"/>
      <c r="AD4" s="128">
        <v>3</v>
      </c>
      <c r="AE4" s="128">
        <v>1</v>
      </c>
      <c r="AF4" s="128"/>
      <c r="AG4" s="128"/>
      <c r="AH4" s="134">
        <f>SUM(T4:AF4)</f>
        <v>23</v>
      </c>
      <c r="AI4" s="127"/>
      <c r="AJ4" s="127"/>
      <c r="AK4" s="127"/>
      <c r="AL4" s="127"/>
      <c r="AM4" s="135"/>
      <c r="AN4" s="136">
        <f>SUM(AI4:AL4)</f>
        <v>0</v>
      </c>
      <c r="AO4" s="137"/>
      <c r="AP4" s="137"/>
      <c r="AQ4" s="138">
        <f>SUM(AO4:AO4)</f>
        <v>0</v>
      </c>
      <c r="AR4" s="139">
        <f t="shared" ref="AR4:AR35" si="0">+S4+AH4+AN4+AQ4</f>
        <v>44</v>
      </c>
      <c r="AS4" s="411">
        <f t="shared" ref="AS4:AS35" si="1">+L4-AR4</f>
        <v>10</v>
      </c>
      <c r="AT4" s="355">
        <v>40.450000000000003</v>
      </c>
      <c r="AU4" s="356">
        <f t="shared" ref="AU4:AU35" si="2">+(S4+AB4)*40/60</f>
        <v>15.333333333333334</v>
      </c>
      <c r="AV4" s="386">
        <f t="shared" ref="AV4:AV35" si="3">+AN4*40/60</f>
        <v>0</v>
      </c>
      <c r="AW4" s="358">
        <f t="shared" ref="AW4:AW35" si="4">+AQ4*0.666666666666667</f>
        <v>0</v>
      </c>
      <c r="AX4" s="356">
        <f>+AT4-AU4-AV4-AW4</f>
        <v>25.116666666666667</v>
      </c>
      <c r="AY4" s="359">
        <f t="shared" ref="AY4:AY53" si="5">+AU4/(AU4+AX4)</f>
        <v>0.37906880922950142</v>
      </c>
      <c r="AZ4" s="360">
        <f t="shared" ref="AZ4:AZ53" si="6">+AX4/(AU4+AX4)</f>
        <v>0.62093119077049852</v>
      </c>
      <c r="BA4" s="287">
        <v>2930408</v>
      </c>
      <c r="BB4" s="287">
        <v>54266.814814814818</v>
      </c>
    </row>
    <row r="5" spans="1:54" ht="15.75" thickBot="1" x14ac:dyDescent="0.3">
      <c r="A5" s="121" t="s">
        <v>610</v>
      </c>
      <c r="B5" s="121" t="s">
        <v>611</v>
      </c>
      <c r="C5" s="122" t="s">
        <v>180</v>
      </c>
      <c r="D5" s="123"/>
      <c r="E5" s="123"/>
      <c r="F5" s="123"/>
      <c r="G5" s="124" t="s">
        <v>609</v>
      </c>
      <c r="H5" s="124"/>
      <c r="I5" s="140"/>
      <c r="J5" s="125"/>
      <c r="K5" s="124"/>
      <c r="L5" s="141">
        <v>40</v>
      </c>
      <c r="M5" s="127">
        <v>14</v>
      </c>
      <c r="N5" s="127"/>
      <c r="O5" s="127"/>
      <c r="P5" s="127"/>
      <c r="Q5" s="128"/>
      <c r="R5" s="23">
        <f>IF(G5="x",1,"")</f>
        <v>1</v>
      </c>
      <c r="S5" s="129">
        <f t="shared" ref="S5:S53" si="7">SUM(M5:R5)</f>
        <v>15</v>
      </c>
      <c r="T5" s="130">
        <f>IF($C5="",0,VLOOKUP($C5,[6]Hoja1!$C$11:$D$27,2,FALSE)*M5)+IF($D5="",0,VLOOKUP($D5,[6]Hoja1!$C$11:$D$27,2,FALSE)*N5)+IF($F5="",0,VLOOKUP($F5,[6]Hoja1!$C$11:$D$27,2,FALSE)*P5)+IF(R5="",0,R5*0.5)</f>
        <v>4.7</v>
      </c>
      <c r="U5" s="131">
        <f>IF(G5="x",5,"")</f>
        <v>5</v>
      </c>
      <c r="V5" s="131">
        <v>5</v>
      </c>
      <c r="W5" s="133">
        <v>1.5</v>
      </c>
      <c r="X5" s="128">
        <v>1</v>
      </c>
      <c r="Y5" s="128"/>
      <c r="Z5" s="128"/>
      <c r="AA5" s="128"/>
      <c r="AB5" s="128">
        <v>4</v>
      </c>
      <c r="AC5" s="128">
        <v>2</v>
      </c>
      <c r="AD5" s="142"/>
      <c r="AE5" s="128"/>
      <c r="AF5" s="128"/>
      <c r="AG5" s="128"/>
      <c r="AH5" s="134">
        <f>SUM(T5:AF5)</f>
        <v>23.2</v>
      </c>
      <c r="AI5" s="143"/>
      <c r="AJ5" s="127"/>
      <c r="AK5" s="127"/>
      <c r="AL5" s="127"/>
      <c r="AM5" s="135"/>
      <c r="AN5" s="136">
        <f>SUM(AI5:AL5)</f>
        <v>0</v>
      </c>
      <c r="AO5" s="144"/>
      <c r="AP5" s="144"/>
      <c r="AQ5" s="138">
        <f>SUM(AO5:AO5)</f>
        <v>0</v>
      </c>
      <c r="AR5" s="139">
        <f t="shared" si="0"/>
        <v>38.200000000000003</v>
      </c>
      <c r="AS5" s="412">
        <f t="shared" si="1"/>
        <v>1.7999999999999972</v>
      </c>
      <c r="AT5" s="355">
        <v>33.4</v>
      </c>
      <c r="AU5" s="356">
        <f t="shared" si="2"/>
        <v>12.666666666666666</v>
      </c>
      <c r="AV5" s="386">
        <f t="shared" si="3"/>
        <v>0</v>
      </c>
      <c r="AW5" s="358">
        <f t="shared" si="4"/>
        <v>0</v>
      </c>
      <c r="AX5" s="356">
        <f t="shared" ref="AX5:AX53" si="8">+AT5-AU5-AV5-AW5</f>
        <v>20.733333333333334</v>
      </c>
      <c r="AY5" s="359">
        <f t="shared" si="5"/>
        <v>0.37924151696606784</v>
      </c>
      <c r="AZ5" s="360">
        <f t="shared" si="6"/>
        <v>0.62075848303393222</v>
      </c>
      <c r="BA5" s="287">
        <v>1774000</v>
      </c>
      <c r="BB5" s="287">
        <v>44350</v>
      </c>
    </row>
    <row r="6" spans="1:54" ht="15.75" thickBot="1" x14ac:dyDescent="0.3">
      <c r="A6" s="121" t="s">
        <v>612</v>
      </c>
      <c r="B6" s="121" t="s">
        <v>613</v>
      </c>
      <c r="C6" s="122" t="s">
        <v>126</v>
      </c>
      <c r="D6" s="123"/>
      <c r="E6" s="123"/>
      <c r="F6" s="123" t="s">
        <v>126</v>
      </c>
      <c r="G6" s="124"/>
      <c r="H6" s="124"/>
      <c r="I6" s="140"/>
      <c r="J6" s="125"/>
      <c r="K6" s="124"/>
      <c r="L6" s="141">
        <v>54</v>
      </c>
      <c r="M6" s="127">
        <v>26</v>
      </c>
      <c r="N6" s="127"/>
      <c r="O6" s="127"/>
      <c r="P6" s="127">
        <v>2</v>
      </c>
      <c r="Q6" s="128"/>
      <c r="R6" s="23" t="str">
        <f>IF(G6="x",1,"")</f>
        <v/>
      </c>
      <c r="S6" s="129">
        <f t="shared" si="7"/>
        <v>28</v>
      </c>
      <c r="T6" s="130">
        <f>IF($C6="",0,VLOOKUP($C6,[6]Hoja1!$C$11:$D$27,2,FALSE)*M6)+IF($D6="",0,VLOOKUP($D6,[6]Hoja1!$C$11:$D$27,2,FALSE)*N6)+IF($F6="",0,VLOOKUP($F6,[6]Hoja1!$C$11:$D$27,2,FALSE)*P6)+IF(R6="",0,R6*0.5)</f>
        <v>8.4</v>
      </c>
      <c r="U6" s="127" t="str">
        <f>IF(G6="x",4,"")</f>
        <v/>
      </c>
      <c r="V6" s="127"/>
      <c r="W6" s="133">
        <v>1.5</v>
      </c>
      <c r="X6" s="128"/>
      <c r="Y6" s="128">
        <v>8</v>
      </c>
      <c r="Z6" s="128"/>
      <c r="AA6" s="128"/>
      <c r="AB6" s="128"/>
      <c r="AC6" s="128"/>
      <c r="AD6" s="142">
        <v>5</v>
      </c>
      <c r="AE6" s="128"/>
      <c r="AF6" s="128"/>
      <c r="AG6" s="128"/>
      <c r="AH6" s="134">
        <f t="shared" ref="AH6:AH53" si="9">SUM(T6:AF6)</f>
        <v>22.9</v>
      </c>
      <c r="AI6" s="143"/>
      <c r="AJ6" s="127"/>
      <c r="AK6" s="127"/>
      <c r="AL6" s="127"/>
      <c r="AM6" s="135"/>
      <c r="AN6" s="136">
        <f t="shared" ref="AN6:AN53" si="10">SUM(AI6:AL6)</f>
        <v>0</v>
      </c>
      <c r="AO6" s="144"/>
      <c r="AP6" s="144"/>
      <c r="AQ6" s="138">
        <f t="shared" ref="AQ6:AQ53" si="11">SUM(AO6:AO6)</f>
        <v>0</v>
      </c>
      <c r="AR6" s="139">
        <f t="shared" si="0"/>
        <v>50.9</v>
      </c>
      <c r="AS6" s="412">
        <f t="shared" si="1"/>
        <v>3.1000000000000014</v>
      </c>
      <c r="AT6" s="355">
        <v>40.43333333333333</v>
      </c>
      <c r="AU6" s="356">
        <f t="shared" si="2"/>
        <v>18.666666666666668</v>
      </c>
      <c r="AV6" s="386">
        <f t="shared" si="3"/>
        <v>0</v>
      </c>
      <c r="AW6" s="358">
        <f t="shared" si="4"/>
        <v>0</v>
      </c>
      <c r="AX6" s="356">
        <f t="shared" si="8"/>
        <v>21.766666666666662</v>
      </c>
      <c r="AY6" s="359">
        <f t="shared" si="5"/>
        <v>0.46166529266281953</v>
      </c>
      <c r="AZ6" s="360">
        <f t="shared" si="6"/>
        <v>0.53833470733718047</v>
      </c>
      <c r="BA6" s="287">
        <v>1837701</v>
      </c>
      <c r="BB6" s="287">
        <v>34031.5</v>
      </c>
    </row>
    <row r="7" spans="1:54" ht="15.75" thickBot="1" x14ac:dyDescent="0.3">
      <c r="A7" s="121" t="s">
        <v>614</v>
      </c>
      <c r="B7" s="121" t="s">
        <v>615</v>
      </c>
      <c r="C7" s="122" t="s">
        <v>114</v>
      </c>
      <c r="D7" s="123"/>
      <c r="E7" s="123"/>
      <c r="F7" s="123"/>
      <c r="G7" s="124" t="s">
        <v>609</v>
      </c>
      <c r="H7" s="124"/>
      <c r="I7" s="140"/>
      <c r="J7" s="125"/>
      <c r="K7" s="124"/>
      <c r="L7" s="141">
        <v>54</v>
      </c>
      <c r="M7" s="127">
        <v>22</v>
      </c>
      <c r="N7" s="127"/>
      <c r="O7" s="127"/>
      <c r="P7" s="127"/>
      <c r="Q7" s="128"/>
      <c r="R7" s="23">
        <f>IF(G7="x",1,"")</f>
        <v>1</v>
      </c>
      <c r="S7" s="129">
        <f t="shared" si="7"/>
        <v>23</v>
      </c>
      <c r="T7" s="130">
        <f>IF($C7="",0,VLOOKUP($C7,[6]Hoja1!$C$11:$D$27,2,FALSE)*M7)+IF($D7="",0,VLOOKUP($D7,[6]Hoja1!$C$11:$D$27,2,FALSE)*N7)+IF($F7="",0,VLOOKUP($F7,[6]Hoja1!$C$11:$D$27,2,FALSE)*P7)+IF(R7="",0,R7*0.5)</f>
        <v>11.5</v>
      </c>
      <c r="U7" s="131">
        <f>IF(G7="x",7,"")</f>
        <v>7</v>
      </c>
      <c r="V7" s="131">
        <v>7</v>
      </c>
      <c r="W7" s="133">
        <v>1.5</v>
      </c>
      <c r="X7" s="128"/>
      <c r="Y7" s="128"/>
      <c r="Z7" s="128"/>
      <c r="AA7" s="128"/>
      <c r="AB7" s="128">
        <v>2</v>
      </c>
      <c r="AC7" s="128">
        <v>1</v>
      </c>
      <c r="AD7" s="142">
        <v>4</v>
      </c>
      <c r="AE7" s="128"/>
      <c r="AF7" s="128"/>
      <c r="AG7" s="128"/>
      <c r="AH7" s="134">
        <f t="shared" si="9"/>
        <v>34</v>
      </c>
      <c r="AI7" s="143"/>
      <c r="AJ7" s="127"/>
      <c r="AK7" s="127"/>
      <c r="AL7" s="127"/>
      <c r="AM7" s="135"/>
      <c r="AN7" s="136">
        <f t="shared" si="10"/>
        <v>0</v>
      </c>
      <c r="AO7" s="144"/>
      <c r="AP7" s="144"/>
      <c r="AQ7" s="138">
        <f t="shared" si="11"/>
        <v>0</v>
      </c>
      <c r="AR7" s="139">
        <f t="shared" si="0"/>
        <v>57</v>
      </c>
      <c r="AS7" s="412">
        <f t="shared" si="1"/>
        <v>-3</v>
      </c>
      <c r="AT7" s="355">
        <v>40.466666666666669</v>
      </c>
      <c r="AU7" s="356">
        <f t="shared" si="2"/>
        <v>16.666666666666668</v>
      </c>
      <c r="AV7" s="386">
        <f t="shared" si="3"/>
        <v>0</v>
      </c>
      <c r="AW7" s="358">
        <f t="shared" si="4"/>
        <v>0</v>
      </c>
      <c r="AX7" s="356">
        <f t="shared" si="8"/>
        <v>23.8</v>
      </c>
      <c r="AY7" s="359">
        <f t="shared" si="5"/>
        <v>0.41186161449752884</v>
      </c>
      <c r="AZ7" s="360">
        <f t="shared" si="6"/>
        <v>0.58813838550247111</v>
      </c>
      <c r="BA7" s="287">
        <v>1845000</v>
      </c>
      <c r="BB7" s="287">
        <v>34166.666666666664</v>
      </c>
    </row>
    <row r="8" spans="1:54" ht="15.75" thickBot="1" x14ac:dyDescent="0.3">
      <c r="A8" s="121" t="s">
        <v>616</v>
      </c>
      <c r="B8" s="121" t="s">
        <v>617</v>
      </c>
      <c r="C8" s="122" t="s">
        <v>114</v>
      </c>
      <c r="D8" s="123"/>
      <c r="E8" s="123"/>
      <c r="F8" s="123"/>
      <c r="G8" s="124"/>
      <c r="H8" s="124"/>
      <c r="I8" s="140" t="s">
        <v>609</v>
      </c>
      <c r="J8" s="125" t="s">
        <v>302</v>
      </c>
      <c r="K8" s="124"/>
      <c r="L8" s="141">
        <v>54</v>
      </c>
      <c r="M8" s="127">
        <v>12</v>
      </c>
      <c r="N8" s="127"/>
      <c r="O8" s="127"/>
      <c r="P8" s="127"/>
      <c r="Q8" s="128"/>
      <c r="R8" s="23">
        <v>1</v>
      </c>
      <c r="S8" s="129">
        <f t="shared" si="7"/>
        <v>13</v>
      </c>
      <c r="T8" s="130">
        <f>IF($C8="",0,VLOOKUP($C8,[6]Hoja1!$C$11:$D$27,2,FALSE)*M8)+IF($D8="",0,VLOOKUP($D8,[6]Hoja1!$C$11:$D$27,2,FALSE)*N8)+IF($F8="",0,VLOOKUP($F8,[6]Hoja1!$C$11:$D$27,2,FALSE)*P8)+IF(R8="",0,R8*0.5)</f>
        <v>6.5</v>
      </c>
      <c r="U8" s="127" t="str">
        <f>IF(G8="x",4,"")</f>
        <v/>
      </c>
      <c r="V8" s="127">
        <v>0</v>
      </c>
      <c r="W8" s="133">
        <v>1.5</v>
      </c>
      <c r="X8" s="128">
        <v>4</v>
      </c>
      <c r="Y8" s="128"/>
      <c r="Z8" s="128"/>
      <c r="AA8" s="128"/>
      <c r="AB8" s="128"/>
      <c r="AC8" s="128">
        <v>1</v>
      </c>
      <c r="AD8" s="142"/>
      <c r="AE8" s="128"/>
      <c r="AF8" s="128"/>
      <c r="AG8" s="128" t="s">
        <v>618</v>
      </c>
      <c r="AH8" s="134">
        <f t="shared" si="9"/>
        <v>13</v>
      </c>
      <c r="AI8" s="143">
        <v>25</v>
      </c>
      <c r="AJ8" s="127"/>
      <c r="AK8" s="127"/>
      <c r="AL8" s="127"/>
      <c r="AM8" s="135"/>
      <c r="AN8" s="136">
        <f t="shared" si="10"/>
        <v>25</v>
      </c>
      <c r="AO8" s="144"/>
      <c r="AP8" s="144"/>
      <c r="AQ8" s="138">
        <f t="shared" si="11"/>
        <v>0</v>
      </c>
      <c r="AR8" s="139">
        <f t="shared" si="0"/>
        <v>51</v>
      </c>
      <c r="AS8" s="412">
        <f t="shared" si="1"/>
        <v>3</v>
      </c>
      <c r="AT8" s="355">
        <v>40.466666666666669</v>
      </c>
      <c r="AU8" s="356">
        <f t="shared" si="2"/>
        <v>8.6666666666666661</v>
      </c>
      <c r="AV8" s="386">
        <f t="shared" si="3"/>
        <v>16.666666666666668</v>
      </c>
      <c r="AW8" s="358">
        <f t="shared" si="4"/>
        <v>0</v>
      </c>
      <c r="AX8" s="356">
        <f t="shared" si="8"/>
        <v>15.133333333333336</v>
      </c>
      <c r="AY8" s="359">
        <f t="shared" si="5"/>
        <v>0.36414565826330525</v>
      </c>
      <c r="AZ8" s="360">
        <f t="shared" si="6"/>
        <v>0.63585434173669464</v>
      </c>
      <c r="BA8" s="287">
        <v>2178503</v>
      </c>
      <c r="BB8" s="287">
        <v>40342.648148148146</v>
      </c>
    </row>
    <row r="9" spans="1:54" ht="15.75" thickBot="1" x14ac:dyDescent="0.3">
      <c r="A9" s="121" t="s">
        <v>619</v>
      </c>
      <c r="B9" s="121" t="s">
        <v>620</v>
      </c>
      <c r="C9" s="122" t="s">
        <v>180</v>
      </c>
      <c r="D9" s="123"/>
      <c r="E9" s="123"/>
      <c r="F9" s="123"/>
      <c r="G9" s="124"/>
      <c r="H9" s="124" t="s">
        <v>609</v>
      </c>
      <c r="I9" s="140"/>
      <c r="J9" s="125"/>
      <c r="K9" s="124"/>
      <c r="L9" s="141">
        <v>54</v>
      </c>
      <c r="M9" s="127">
        <v>20</v>
      </c>
      <c r="N9" s="127"/>
      <c r="O9" s="127"/>
      <c r="P9" s="127"/>
      <c r="Q9" s="128">
        <v>4</v>
      </c>
      <c r="R9" s="23" t="str">
        <f t="shared" ref="R9:R17" si="12">IF(G9="x",1,"")</f>
        <v/>
      </c>
      <c r="S9" s="129">
        <f t="shared" si="7"/>
        <v>24</v>
      </c>
      <c r="T9" s="130">
        <f>IF($C9="",0,VLOOKUP($C9,[6]Hoja1!$C$11:$D$27,2,FALSE)*M9)+IF($D9="",0,VLOOKUP($D9,[6]Hoja1!$C$11:$D$27,2,FALSE)*N9)+IF($F9="",0,VLOOKUP($F9,[6]Hoja1!$C$11:$D$27,2,FALSE)*P9)+IF(R9="",0,R9*0.5)</f>
        <v>6</v>
      </c>
      <c r="U9" s="127" t="str">
        <f>IF(G9="x",4,"")</f>
        <v/>
      </c>
      <c r="V9" s="127"/>
      <c r="W9" s="133">
        <v>1.5</v>
      </c>
      <c r="X9" s="128"/>
      <c r="Y9" s="128"/>
      <c r="Z9" s="128"/>
      <c r="AA9" s="128"/>
      <c r="AB9" s="128">
        <v>4</v>
      </c>
      <c r="AC9" s="128">
        <v>2</v>
      </c>
      <c r="AD9" s="142">
        <v>1</v>
      </c>
      <c r="AE9" s="128"/>
      <c r="AF9" s="128"/>
      <c r="AG9" s="128"/>
      <c r="AH9" s="134">
        <f t="shared" si="9"/>
        <v>14.5</v>
      </c>
      <c r="AI9" s="143"/>
      <c r="AJ9" s="127">
        <v>5</v>
      </c>
      <c r="AK9" s="127"/>
      <c r="AL9" s="127"/>
      <c r="AM9" s="135"/>
      <c r="AN9" s="136">
        <f t="shared" si="10"/>
        <v>5</v>
      </c>
      <c r="AO9" s="144"/>
      <c r="AP9" s="144"/>
      <c r="AQ9" s="138">
        <f t="shared" si="11"/>
        <v>0</v>
      </c>
      <c r="AR9" s="139">
        <f t="shared" si="0"/>
        <v>43.5</v>
      </c>
      <c r="AS9" s="412">
        <f t="shared" si="1"/>
        <v>10.5</v>
      </c>
      <c r="AT9" s="355">
        <v>40.450000000000003</v>
      </c>
      <c r="AU9" s="356">
        <f t="shared" si="2"/>
        <v>18.666666666666668</v>
      </c>
      <c r="AV9" s="386">
        <f t="shared" si="3"/>
        <v>3.3333333333333335</v>
      </c>
      <c r="AW9" s="358">
        <f t="shared" si="4"/>
        <v>0</v>
      </c>
      <c r="AX9" s="356">
        <f t="shared" si="8"/>
        <v>18.450000000000003</v>
      </c>
      <c r="AY9" s="359">
        <f t="shared" si="5"/>
        <v>0.5029187247418051</v>
      </c>
      <c r="AZ9" s="360">
        <f t="shared" si="6"/>
        <v>0.49708127525819484</v>
      </c>
      <c r="BA9" s="287">
        <v>1761299</v>
      </c>
      <c r="BB9" s="287">
        <v>32616.64814814815</v>
      </c>
    </row>
    <row r="10" spans="1:54" ht="15.75" thickBot="1" x14ac:dyDescent="0.3">
      <c r="A10" s="121" t="s">
        <v>621</v>
      </c>
      <c r="B10" s="121" t="s">
        <v>622</v>
      </c>
      <c r="C10" s="122" t="s">
        <v>126</v>
      </c>
      <c r="D10" s="123"/>
      <c r="E10" s="123"/>
      <c r="F10" s="123"/>
      <c r="G10" s="124"/>
      <c r="H10" s="124"/>
      <c r="I10" s="140"/>
      <c r="J10" s="125"/>
      <c r="K10" s="124"/>
      <c r="L10" s="141">
        <v>16</v>
      </c>
      <c r="M10" s="127">
        <v>8</v>
      </c>
      <c r="N10" s="127"/>
      <c r="O10" s="127"/>
      <c r="P10" s="127"/>
      <c r="Q10" s="128"/>
      <c r="R10" s="23" t="str">
        <f t="shared" si="12"/>
        <v/>
      </c>
      <c r="S10" s="129">
        <f t="shared" si="7"/>
        <v>8</v>
      </c>
      <c r="T10" s="130">
        <f>IF($C10="",0,VLOOKUP($C10,[6]Hoja1!$C$11:$D$27,2,FALSE)*M10)+IF($D10="",0,VLOOKUP($D10,[6]Hoja1!$C$11:$D$27,2,FALSE)*N10)+IF($F10="",0,VLOOKUP($F10,[6]Hoja1!$C$11:$D$27,2,FALSE)*P10)+IF(R10="",0,R10*0.5)</f>
        <v>2.4</v>
      </c>
      <c r="U10" s="127" t="str">
        <f>IF(G10="x",4,"")</f>
        <v/>
      </c>
      <c r="V10" s="127"/>
      <c r="W10" s="133"/>
      <c r="X10" s="128"/>
      <c r="Y10" s="128">
        <v>8</v>
      </c>
      <c r="Z10" s="128"/>
      <c r="AA10" s="128"/>
      <c r="AB10" s="128"/>
      <c r="AC10" s="128"/>
      <c r="AD10" s="142"/>
      <c r="AE10" s="128"/>
      <c r="AF10" s="128"/>
      <c r="AG10" s="128"/>
      <c r="AH10" s="134">
        <f t="shared" si="9"/>
        <v>10.4</v>
      </c>
      <c r="AI10" s="143"/>
      <c r="AJ10" s="127"/>
      <c r="AK10" s="127"/>
      <c r="AL10" s="127"/>
      <c r="AM10" s="135"/>
      <c r="AN10" s="136">
        <f t="shared" si="10"/>
        <v>0</v>
      </c>
      <c r="AO10" s="144"/>
      <c r="AP10" s="144"/>
      <c r="AQ10" s="138">
        <f t="shared" si="11"/>
        <v>0</v>
      </c>
      <c r="AR10" s="139">
        <f t="shared" si="0"/>
        <v>18.399999999999999</v>
      </c>
      <c r="AS10" s="412">
        <f t="shared" si="1"/>
        <v>-2.3999999999999986</v>
      </c>
      <c r="AT10" s="355">
        <v>14.1</v>
      </c>
      <c r="AU10" s="356">
        <f t="shared" si="2"/>
        <v>5.333333333333333</v>
      </c>
      <c r="AV10" s="386">
        <f t="shared" si="3"/>
        <v>0</v>
      </c>
      <c r="AW10" s="358">
        <f t="shared" si="4"/>
        <v>0</v>
      </c>
      <c r="AX10" s="356">
        <f t="shared" si="8"/>
        <v>8.7666666666666657</v>
      </c>
      <c r="AY10" s="359">
        <f t="shared" si="5"/>
        <v>0.37825059101654851</v>
      </c>
      <c r="AZ10" s="360">
        <f t="shared" si="6"/>
        <v>0.62174940898345155</v>
      </c>
      <c r="BA10" s="287">
        <v>640000</v>
      </c>
      <c r="BB10" s="287">
        <v>40000</v>
      </c>
    </row>
    <row r="11" spans="1:54" ht="15.75" thickBot="1" x14ac:dyDescent="0.3">
      <c r="A11" s="121" t="s">
        <v>623</v>
      </c>
      <c r="B11" s="121" t="s">
        <v>624</v>
      </c>
      <c r="C11" s="122" t="s">
        <v>64</v>
      </c>
      <c r="D11" s="123"/>
      <c r="E11" s="123"/>
      <c r="F11" s="123"/>
      <c r="G11" s="124" t="s">
        <v>609</v>
      </c>
      <c r="H11" s="124"/>
      <c r="I11" s="140"/>
      <c r="J11" s="125"/>
      <c r="K11" s="124"/>
      <c r="L11" s="141">
        <v>54</v>
      </c>
      <c r="M11" s="127">
        <v>18</v>
      </c>
      <c r="N11" s="127"/>
      <c r="O11" s="127"/>
      <c r="P11" s="127"/>
      <c r="Q11" s="128"/>
      <c r="R11" s="23">
        <f t="shared" si="12"/>
        <v>1</v>
      </c>
      <c r="S11" s="129">
        <f t="shared" si="7"/>
        <v>19</v>
      </c>
      <c r="T11" s="130">
        <f>IF($C11="",0,VLOOKUP($C11,[6]Hoja1!$C$11:$D$27,2,FALSE)*M11)+IF($D11="",0,VLOOKUP($D11,[6]Hoja1!$C$11:$D$27,2,FALSE)*N11)+IF($F11="",0,VLOOKUP($F11,[6]Hoja1!$C$11:$D$27,2,FALSE)*P11)+IF(R11="",0,R11*0.5)</f>
        <v>9.5</v>
      </c>
      <c r="U11" s="131">
        <f>IF(G11="x",6,"")</f>
        <v>6</v>
      </c>
      <c r="V11" s="131">
        <v>6</v>
      </c>
      <c r="W11" s="133">
        <v>1.5</v>
      </c>
      <c r="X11" s="128">
        <v>1</v>
      </c>
      <c r="Y11" s="128"/>
      <c r="Z11" s="128"/>
      <c r="AA11" s="128"/>
      <c r="AB11" s="128">
        <v>4</v>
      </c>
      <c r="AC11" s="128">
        <v>2</v>
      </c>
      <c r="AD11" s="142"/>
      <c r="AE11" s="128">
        <v>1</v>
      </c>
      <c r="AF11" s="128"/>
      <c r="AG11" s="128"/>
      <c r="AH11" s="134">
        <f t="shared" si="9"/>
        <v>31</v>
      </c>
      <c r="AI11" s="143"/>
      <c r="AJ11" s="127"/>
      <c r="AK11" s="127"/>
      <c r="AL11" s="127"/>
      <c r="AM11" s="135"/>
      <c r="AN11" s="136">
        <f t="shared" si="10"/>
        <v>0</v>
      </c>
      <c r="AO11" s="144"/>
      <c r="AP11" s="144"/>
      <c r="AQ11" s="138">
        <f t="shared" si="11"/>
        <v>0</v>
      </c>
      <c r="AR11" s="139">
        <f t="shared" si="0"/>
        <v>50</v>
      </c>
      <c r="AS11" s="412">
        <f t="shared" si="1"/>
        <v>4</v>
      </c>
      <c r="AT11" s="355">
        <v>40.43333333333333</v>
      </c>
      <c r="AU11" s="356">
        <f t="shared" si="2"/>
        <v>15.333333333333334</v>
      </c>
      <c r="AV11" s="386">
        <f t="shared" si="3"/>
        <v>0</v>
      </c>
      <c r="AW11" s="358">
        <f t="shared" si="4"/>
        <v>0</v>
      </c>
      <c r="AX11" s="356">
        <f t="shared" si="8"/>
        <v>25.099999999999994</v>
      </c>
      <c r="AY11" s="359">
        <f t="shared" si="5"/>
        <v>0.37922506183017318</v>
      </c>
      <c r="AZ11" s="360">
        <f t="shared" si="6"/>
        <v>0.62077493816982676</v>
      </c>
      <c r="BA11" s="287">
        <v>1907946</v>
      </c>
      <c r="BB11" s="287">
        <v>35332.333333333336</v>
      </c>
    </row>
    <row r="12" spans="1:54" ht="15.75" thickBot="1" x14ac:dyDescent="0.3">
      <c r="A12" s="121" t="s">
        <v>625</v>
      </c>
      <c r="B12" s="121" t="s">
        <v>626</v>
      </c>
      <c r="C12" s="122" t="s">
        <v>627</v>
      </c>
      <c r="D12" s="123"/>
      <c r="E12" s="123"/>
      <c r="F12" s="123" t="s">
        <v>627</v>
      </c>
      <c r="G12" s="124" t="s">
        <v>609</v>
      </c>
      <c r="H12" s="124"/>
      <c r="I12" s="140" t="s">
        <v>609</v>
      </c>
      <c r="J12" s="125" t="s">
        <v>155</v>
      </c>
      <c r="K12" s="124"/>
      <c r="L12" s="141">
        <v>54</v>
      </c>
      <c r="M12" s="127">
        <v>10</v>
      </c>
      <c r="N12" s="127"/>
      <c r="O12" s="127"/>
      <c r="P12" s="127">
        <v>6</v>
      </c>
      <c r="Q12" s="128"/>
      <c r="R12" s="23">
        <f t="shared" si="12"/>
        <v>1</v>
      </c>
      <c r="S12" s="129">
        <f t="shared" si="7"/>
        <v>17</v>
      </c>
      <c r="T12" s="130">
        <f>IF($C12="",0,VLOOKUP($C12,[6]Hoja1!$C$11:$D$27,2,FALSE)*M12)+IF($D12="",0,VLOOKUP($D12,[6]Hoja1!$C$11:$D$27,2,FALSE)*N12)+IF($F12="",0,VLOOKUP($F12,[6]Hoja1!$C$11:$D$27,2,FALSE)*P12)+IF(R12="",0,R12*0.5)</f>
        <v>8.5</v>
      </c>
      <c r="U12" s="131">
        <f>IF(G12="x",7,"")</f>
        <v>7</v>
      </c>
      <c r="V12" s="131">
        <v>7</v>
      </c>
      <c r="W12" s="133">
        <v>1.5</v>
      </c>
      <c r="X12" s="128"/>
      <c r="Y12" s="128"/>
      <c r="Z12" s="128"/>
      <c r="AA12" s="128"/>
      <c r="AB12" s="128">
        <v>5</v>
      </c>
      <c r="AC12" s="128">
        <v>1</v>
      </c>
      <c r="AD12" s="142"/>
      <c r="AE12" s="128"/>
      <c r="AF12" s="128"/>
      <c r="AG12" s="128"/>
      <c r="AH12" s="134">
        <f t="shared" si="9"/>
        <v>30</v>
      </c>
      <c r="AI12" s="143">
        <v>20</v>
      </c>
      <c r="AJ12" s="127"/>
      <c r="AK12" s="127"/>
      <c r="AL12" s="127"/>
      <c r="AM12" s="135"/>
      <c r="AN12" s="136">
        <f t="shared" si="10"/>
        <v>20</v>
      </c>
      <c r="AO12" s="144"/>
      <c r="AP12" s="144"/>
      <c r="AQ12" s="138">
        <f t="shared" si="11"/>
        <v>0</v>
      </c>
      <c r="AR12" s="139">
        <f t="shared" si="0"/>
        <v>67</v>
      </c>
      <c r="AS12" s="412">
        <f t="shared" si="1"/>
        <v>-13</v>
      </c>
      <c r="AT12" s="355">
        <v>40.43333333333333</v>
      </c>
      <c r="AU12" s="356">
        <f t="shared" si="2"/>
        <v>14.666666666666666</v>
      </c>
      <c r="AV12" s="386">
        <f t="shared" si="3"/>
        <v>13.333333333333334</v>
      </c>
      <c r="AW12" s="358">
        <f t="shared" si="4"/>
        <v>0</v>
      </c>
      <c r="AX12" s="356">
        <f t="shared" si="8"/>
        <v>12.433333333333332</v>
      </c>
      <c r="AY12" s="359">
        <f t="shared" si="5"/>
        <v>0.54120541205412054</v>
      </c>
      <c r="AZ12" s="360">
        <f t="shared" si="6"/>
        <v>0.45879458794587946</v>
      </c>
      <c r="BA12" s="287">
        <v>4111988</v>
      </c>
      <c r="BB12" s="287">
        <v>76147.925925925927</v>
      </c>
    </row>
    <row r="13" spans="1:54" ht="15.75" thickBot="1" x14ac:dyDescent="0.3">
      <c r="A13" s="121" t="s">
        <v>628</v>
      </c>
      <c r="B13" s="121" t="s">
        <v>629</v>
      </c>
      <c r="C13" s="122" t="s">
        <v>61</v>
      </c>
      <c r="D13" s="123"/>
      <c r="E13" s="123"/>
      <c r="F13" s="123"/>
      <c r="G13" s="124" t="s">
        <v>609</v>
      </c>
      <c r="H13" s="124"/>
      <c r="I13" s="140"/>
      <c r="J13" s="125"/>
      <c r="K13" s="124"/>
      <c r="L13" s="141">
        <v>54</v>
      </c>
      <c r="M13" s="127">
        <v>19</v>
      </c>
      <c r="N13" s="127"/>
      <c r="O13" s="127"/>
      <c r="P13" s="127"/>
      <c r="Q13" s="128"/>
      <c r="R13" s="23">
        <f t="shared" si="12"/>
        <v>1</v>
      </c>
      <c r="S13" s="129">
        <f t="shared" si="7"/>
        <v>20</v>
      </c>
      <c r="T13" s="130">
        <f>IF($C13="",0,VLOOKUP($C13,[6]Hoja1!$C$11:$D$27,2,FALSE)*M13)+IF($D13="",0,VLOOKUP($D13,[6]Hoja1!$C$11:$D$27,2,FALSE)*N13)+IF($F13="",0,VLOOKUP($F13,[6]Hoja1!$C$11:$D$27,2,FALSE)*P13)+IF(R13="",0,R13*0.5)</f>
        <v>10</v>
      </c>
      <c r="U13" s="131">
        <f>IF(G13="x",6,"")</f>
        <v>6</v>
      </c>
      <c r="V13" s="131">
        <v>6</v>
      </c>
      <c r="W13" s="133">
        <v>1.5</v>
      </c>
      <c r="X13" s="128"/>
      <c r="Y13" s="128"/>
      <c r="Z13" s="128"/>
      <c r="AA13" s="128"/>
      <c r="AB13" s="128">
        <v>3</v>
      </c>
      <c r="AC13" s="128">
        <v>1</v>
      </c>
      <c r="AD13" s="142">
        <v>4</v>
      </c>
      <c r="AE13" s="128"/>
      <c r="AF13" s="128"/>
      <c r="AG13" s="128"/>
      <c r="AH13" s="134">
        <f t="shared" si="9"/>
        <v>31.5</v>
      </c>
      <c r="AI13" s="143"/>
      <c r="AJ13" s="127"/>
      <c r="AK13" s="127"/>
      <c r="AL13" s="127"/>
      <c r="AM13" s="135"/>
      <c r="AN13" s="136">
        <f t="shared" si="10"/>
        <v>0</v>
      </c>
      <c r="AO13" s="144"/>
      <c r="AP13" s="144"/>
      <c r="AQ13" s="138">
        <f t="shared" si="11"/>
        <v>0</v>
      </c>
      <c r="AR13" s="139">
        <f t="shared" si="0"/>
        <v>51.5</v>
      </c>
      <c r="AS13" s="412">
        <f t="shared" si="1"/>
        <v>2.5</v>
      </c>
      <c r="AT13" s="355">
        <v>40.466666666666669</v>
      </c>
      <c r="AU13" s="356">
        <f t="shared" si="2"/>
        <v>15.333333333333334</v>
      </c>
      <c r="AV13" s="386">
        <f t="shared" si="3"/>
        <v>0</v>
      </c>
      <c r="AW13" s="358">
        <f t="shared" si="4"/>
        <v>0</v>
      </c>
      <c r="AX13" s="356">
        <f t="shared" si="8"/>
        <v>25.133333333333333</v>
      </c>
      <c r="AY13" s="359">
        <f t="shared" si="5"/>
        <v>0.37891268533772654</v>
      </c>
      <c r="AZ13" s="360">
        <f t="shared" si="6"/>
        <v>0.6210873146622734</v>
      </c>
      <c r="BA13" s="287">
        <v>1927066</v>
      </c>
      <c r="BB13" s="287">
        <v>35686.407407407409</v>
      </c>
    </row>
    <row r="14" spans="1:54" ht="15.75" thickBot="1" x14ac:dyDescent="0.3">
      <c r="A14" s="121" t="s">
        <v>630</v>
      </c>
      <c r="B14" s="121" t="s">
        <v>631</v>
      </c>
      <c r="C14" s="122" t="s">
        <v>295</v>
      </c>
      <c r="D14" s="123" t="s">
        <v>109</v>
      </c>
      <c r="E14" s="123"/>
      <c r="F14" s="123" t="s">
        <v>295</v>
      </c>
      <c r="G14" s="124"/>
      <c r="H14" s="124"/>
      <c r="I14" s="140"/>
      <c r="J14" s="125"/>
      <c r="K14" s="124"/>
      <c r="L14" s="141">
        <v>54</v>
      </c>
      <c r="M14" s="127">
        <v>16</v>
      </c>
      <c r="N14" s="127">
        <v>6</v>
      </c>
      <c r="O14" s="127"/>
      <c r="P14" s="127">
        <v>2</v>
      </c>
      <c r="Q14" s="128"/>
      <c r="R14" s="23" t="str">
        <f t="shared" si="12"/>
        <v/>
      </c>
      <c r="S14" s="129">
        <f t="shared" si="7"/>
        <v>24</v>
      </c>
      <c r="T14" s="130">
        <f>IF($C14="",0,VLOOKUP($C14,[6]Hoja1!$C$11:$D$27,2,FALSE)*M14)+IF($D14="",0,VLOOKUP($D14,[6]Hoja1!$C$11:$D$27,2,FALSE)*N14)+IF($F14="",0,VLOOKUP($F14,[6]Hoja1!$C$11:$D$27,2,FALSE)*P14)+IF(R14="",0,R14*0.5)</f>
        <v>12</v>
      </c>
      <c r="U14" s="127" t="str">
        <f>IF(G14="x",4,"")</f>
        <v/>
      </c>
      <c r="V14" s="127"/>
      <c r="W14" s="133">
        <v>1.5</v>
      </c>
      <c r="X14" s="128"/>
      <c r="Y14" s="128"/>
      <c r="Z14" s="128"/>
      <c r="AA14" s="128"/>
      <c r="AB14" s="128">
        <v>4</v>
      </c>
      <c r="AC14" s="128"/>
      <c r="AD14" s="142">
        <v>3</v>
      </c>
      <c r="AE14" s="128">
        <v>5</v>
      </c>
      <c r="AF14" s="128"/>
      <c r="AG14" s="128" t="s">
        <v>632</v>
      </c>
      <c r="AH14" s="134">
        <f t="shared" si="9"/>
        <v>25.5</v>
      </c>
      <c r="AI14" s="143"/>
      <c r="AJ14" s="127"/>
      <c r="AK14" s="127"/>
      <c r="AL14" s="127"/>
      <c r="AM14" s="135"/>
      <c r="AN14" s="136">
        <f t="shared" si="10"/>
        <v>0</v>
      </c>
      <c r="AO14" s="144"/>
      <c r="AP14" s="144"/>
      <c r="AQ14" s="138">
        <f t="shared" si="11"/>
        <v>0</v>
      </c>
      <c r="AR14" s="139">
        <f t="shared" si="0"/>
        <v>49.5</v>
      </c>
      <c r="AS14" s="412">
        <f t="shared" si="1"/>
        <v>4.5</v>
      </c>
      <c r="AT14" s="355">
        <v>40.450000000000003</v>
      </c>
      <c r="AU14" s="356">
        <f t="shared" si="2"/>
        <v>18.666666666666668</v>
      </c>
      <c r="AV14" s="386">
        <f t="shared" si="3"/>
        <v>0</v>
      </c>
      <c r="AW14" s="358">
        <f t="shared" si="4"/>
        <v>0</v>
      </c>
      <c r="AX14" s="356">
        <f t="shared" si="8"/>
        <v>21.783333333333335</v>
      </c>
      <c r="AY14" s="359">
        <f t="shared" si="5"/>
        <v>0.46147507210548</v>
      </c>
      <c r="AZ14" s="360">
        <f t="shared" si="6"/>
        <v>0.53852492789452</v>
      </c>
      <c r="BA14" s="287">
        <v>1680479</v>
      </c>
      <c r="BB14" s="287">
        <v>31119.981481481482</v>
      </c>
    </row>
    <row r="15" spans="1:54" ht="15.75" thickBot="1" x14ac:dyDescent="0.3">
      <c r="A15" s="121" t="s">
        <v>633</v>
      </c>
      <c r="B15" s="121" t="s">
        <v>634</v>
      </c>
      <c r="C15" s="122" t="s">
        <v>180</v>
      </c>
      <c r="D15" s="123"/>
      <c r="E15" s="123"/>
      <c r="F15" s="123" t="s">
        <v>180</v>
      </c>
      <c r="G15" s="124"/>
      <c r="H15" s="124"/>
      <c r="I15" s="140"/>
      <c r="J15" s="125"/>
      <c r="K15" s="124"/>
      <c r="L15" s="141">
        <v>25</v>
      </c>
      <c r="M15" s="127">
        <v>10</v>
      </c>
      <c r="N15" s="127"/>
      <c r="O15" s="127"/>
      <c r="P15" s="127">
        <v>2</v>
      </c>
      <c r="Q15" s="128"/>
      <c r="R15" s="23" t="str">
        <f t="shared" si="12"/>
        <v/>
      </c>
      <c r="S15" s="129">
        <f t="shared" si="7"/>
        <v>12</v>
      </c>
      <c r="T15" s="130">
        <f>IF($C15="",0,VLOOKUP($C15,[6]Hoja1!$C$11:$D$27,2,FALSE)*M15)+IF($D15="",0,VLOOKUP($D15,[6]Hoja1!$C$11:$D$27,2,FALSE)*N15)+IF($F15="",0,VLOOKUP($F15,[6]Hoja1!$C$11:$D$27,2,FALSE)*P15)+IF(R15="",0,R15*0.5)</f>
        <v>3.6</v>
      </c>
      <c r="U15" s="127" t="str">
        <f>IF(G15="x",4,"")</f>
        <v/>
      </c>
      <c r="V15" s="127"/>
      <c r="W15" s="133">
        <v>1.5</v>
      </c>
      <c r="X15" s="128"/>
      <c r="Y15" s="128">
        <v>2</v>
      </c>
      <c r="Z15" s="128"/>
      <c r="AA15" s="128"/>
      <c r="AB15" s="128"/>
      <c r="AC15" s="128"/>
      <c r="AD15" s="142">
        <v>1</v>
      </c>
      <c r="AE15" s="128"/>
      <c r="AF15" s="128"/>
      <c r="AG15" s="128"/>
      <c r="AH15" s="134">
        <f t="shared" si="9"/>
        <v>8.1</v>
      </c>
      <c r="AI15" s="143"/>
      <c r="AJ15" s="127"/>
      <c r="AK15" s="127"/>
      <c r="AL15" s="127"/>
      <c r="AM15" s="135"/>
      <c r="AN15" s="136">
        <f t="shared" si="10"/>
        <v>0</v>
      </c>
      <c r="AO15" s="144"/>
      <c r="AP15" s="144"/>
      <c r="AQ15" s="138">
        <f t="shared" si="11"/>
        <v>0</v>
      </c>
      <c r="AR15" s="139">
        <f t="shared" si="0"/>
        <v>20.100000000000001</v>
      </c>
      <c r="AS15" s="412">
        <f t="shared" si="1"/>
        <v>4.8999999999999986</v>
      </c>
      <c r="AT15" s="355">
        <v>19.2</v>
      </c>
      <c r="AU15" s="356">
        <f t="shared" si="2"/>
        <v>8</v>
      </c>
      <c r="AV15" s="386">
        <f t="shared" si="3"/>
        <v>0</v>
      </c>
      <c r="AW15" s="358">
        <f t="shared" si="4"/>
        <v>0</v>
      </c>
      <c r="AX15" s="356">
        <f t="shared" si="8"/>
        <v>11.2</v>
      </c>
      <c r="AY15" s="359">
        <f t="shared" si="5"/>
        <v>0.41666666666666669</v>
      </c>
      <c r="AZ15" s="360">
        <f t="shared" si="6"/>
        <v>0.58333333333333337</v>
      </c>
      <c r="BA15" s="287">
        <v>931818</v>
      </c>
      <c r="BB15" s="287">
        <v>37272.720000000001</v>
      </c>
    </row>
    <row r="16" spans="1:54" ht="15.75" thickBot="1" x14ac:dyDescent="0.3">
      <c r="A16" s="121" t="s">
        <v>635</v>
      </c>
      <c r="B16" s="121" t="s">
        <v>636</v>
      </c>
      <c r="C16" s="122" t="s">
        <v>54</v>
      </c>
      <c r="D16" s="123"/>
      <c r="E16" s="123"/>
      <c r="F16" s="123"/>
      <c r="G16" s="124" t="s">
        <v>609</v>
      </c>
      <c r="H16" s="124"/>
      <c r="I16" s="140"/>
      <c r="J16" s="125"/>
      <c r="K16" s="124" t="s">
        <v>290</v>
      </c>
      <c r="L16" s="141">
        <v>54</v>
      </c>
      <c r="M16" s="127">
        <v>17</v>
      </c>
      <c r="N16" s="127"/>
      <c r="O16" s="127"/>
      <c r="P16" s="127"/>
      <c r="Q16" s="128"/>
      <c r="R16" s="23">
        <f t="shared" si="12"/>
        <v>1</v>
      </c>
      <c r="S16" s="129">
        <f t="shared" si="7"/>
        <v>18</v>
      </c>
      <c r="T16" s="130">
        <f>IF($C16="",0,VLOOKUP($C16,[6]Hoja1!$C$11:$D$27,2,FALSE)*M16)+IF($D16="",0,VLOOKUP($D16,[6]Hoja1!$C$11:$D$27,2,FALSE)*N16)+IF($F16="",0,VLOOKUP($F16,[6]Hoja1!$C$11:$D$27,2,FALSE)*P16)+IF(R16="",0,R16*0.5)</f>
        <v>9</v>
      </c>
      <c r="U16" s="131">
        <f>IF(G16="x",6,"")</f>
        <v>6</v>
      </c>
      <c r="V16" s="131">
        <v>6</v>
      </c>
      <c r="W16" s="133">
        <v>1.5</v>
      </c>
      <c r="X16" s="128">
        <v>1</v>
      </c>
      <c r="Y16" s="128"/>
      <c r="Z16" s="128"/>
      <c r="AA16" s="128"/>
      <c r="AB16" s="128">
        <v>5</v>
      </c>
      <c r="AC16" s="128">
        <v>2</v>
      </c>
      <c r="AD16" s="142">
        <v>1</v>
      </c>
      <c r="AE16" s="128">
        <v>1</v>
      </c>
      <c r="AF16" s="128"/>
      <c r="AG16" s="128"/>
      <c r="AH16" s="134">
        <f t="shared" si="9"/>
        <v>32.5</v>
      </c>
      <c r="AI16" s="143"/>
      <c r="AJ16" s="127"/>
      <c r="AK16" s="127"/>
      <c r="AL16" s="127"/>
      <c r="AM16" s="135"/>
      <c r="AN16" s="136">
        <f t="shared" si="10"/>
        <v>0</v>
      </c>
      <c r="AO16" s="144"/>
      <c r="AP16" s="144"/>
      <c r="AQ16" s="138">
        <f t="shared" si="11"/>
        <v>0</v>
      </c>
      <c r="AR16" s="139">
        <f t="shared" si="0"/>
        <v>50.5</v>
      </c>
      <c r="AS16" s="412">
        <f t="shared" si="1"/>
        <v>3.5</v>
      </c>
      <c r="AT16" s="355">
        <v>40.450000000000003</v>
      </c>
      <c r="AU16" s="356">
        <f t="shared" si="2"/>
        <v>15.333333333333334</v>
      </c>
      <c r="AV16" s="386">
        <f t="shared" si="3"/>
        <v>0</v>
      </c>
      <c r="AW16" s="358">
        <f t="shared" si="4"/>
        <v>0</v>
      </c>
      <c r="AX16" s="356">
        <f t="shared" si="8"/>
        <v>25.116666666666667</v>
      </c>
      <c r="AY16" s="359">
        <f t="shared" si="5"/>
        <v>0.37906880922950142</v>
      </c>
      <c r="AZ16" s="360">
        <f t="shared" si="6"/>
        <v>0.62093119077049852</v>
      </c>
      <c r="BA16" s="287">
        <v>2574259</v>
      </c>
      <c r="BB16" s="287">
        <v>47671.462962962964</v>
      </c>
    </row>
    <row r="17" spans="1:54" ht="15.75" thickBot="1" x14ac:dyDescent="0.3">
      <c r="A17" s="121" t="s">
        <v>637</v>
      </c>
      <c r="B17" s="121" t="s">
        <v>638</v>
      </c>
      <c r="C17" s="122" t="s">
        <v>54</v>
      </c>
      <c r="D17" s="123"/>
      <c r="E17" s="123"/>
      <c r="F17" s="123" t="s">
        <v>54</v>
      </c>
      <c r="G17" s="124"/>
      <c r="H17" s="124"/>
      <c r="I17" s="140"/>
      <c r="J17" s="125"/>
      <c r="K17" s="124"/>
      <c r="L17" s="141">
        <v>27</v>
      </c>
      <c r="M17" s="127">
        <v>9</v>
      </c>
      <c r="N17" s="127"/>
      <c r="O17" s="127"/>
      <c r="P17" s="127">
        <v>6</v>
      </c>
      <c r="Q17" s="128"/>
      <c r="R17" s="23" t="str">
        <f t="shared" si="12"/>
        <v/>
      </c>
      <c r="S17" s="129">
        <f t="shared" si="7"/>
        <v>15</v>
      </c>
      <c r="T17" s="130">
        <f>IF($C17="",0,VLOOKUP($C17,[6]Hoja1!$C$11:$D$27,2,FALSE)*M17)+IF($D17="",0,VLOOKUP($D17,[6]Hoja1!$C$11:$D$27,2,FALSE)*N17)+IF($F17="",0,VLOOKUP($F17,[6]Hoja1!$C$11:$D$27,2,FALSE)*P17)+IF(R17="",0,R17*0.5)</f>
        <v>7.5</v>
      </c>
      <c r="U17" s="127" t="str">
        <f>IF(G17="x",4,"")</f>
        <v/>
      </c>
      <c r="V17" s="127"/>
      <c r="W17" s="133">
        <v>1.5</v>
      </c>
      <c r="X17" s="128"/>
      <c r="Y17" s="128"/>
      <c r="Z17" s="128"/>
      <c r="AA17" s="128"/>
      <c r="AB17" s="128"/>
      <c r="AC17" s="128"/>
      <c r="AD17" s="142">
        <v>2</v>
      </c>
      <c r="AE17" s="128"/>
      <c r="AF17" s="128"/>
      <c r="AG17" s="128"/>
      <c r="AH17" s="134">
        <f t="shared" si="9"/>
        <v>11</v>
      </c>
      <c r="AI17" s="143"/>
      <c r="AJ17" s="127"/>
      <c r="AK17" s="127"/>
      <c r="AL17" s="127"/>
      <c r="AM17" s="135"/>
      <c r="AN17" s="136">
        <f t="shared" si="10"/>
        <v>0</v>
      </c>
      <c r="AO17" s="144"/>
      <c r="AP17" s="144"/>
      <c r="AQ17" s="138">
        <f t="shared" si="11"/>
        <v>0</v>
      </c>
      <c r="AR17" s="139">
        <f t="shared" si="0"/>
        <v>26</v>
      </c>
      <c r="AS17" s="412">
        <f t="shared" si="1"/>
        <v>1</v>
      </c>
      <c r="AT17" s="355">
        <v>20.283333333333335</v>
      </c>
      <c r="AU17" s="356">
        <f t="shared" si="2"/>
        <v>10</v>
      </c>
      <c r="AV17" s="386">
        <f t="shared" si="3"/>
        <v>0</v>
      </c>
      <c r="AW17" s="358">
        <f t="shared" si="4"/>
        <v>0</v>
      </c>
      <c r="AX17" s="356">
        <f t="shared" si="8"/>
        <v>10.283333333333335</v>
      </c>
      <c r="AY17" s="359">
        <f t="shared" si="5"/>
        <v>0.49301561216105172</v>
      </c>
      <c r="AZ17" s="360">
        <f t="shared" si="6"/>
        <v>0.50698438783894828</v>
      </c>
      <c r="BA17" s="287">
        <v>1134000</v>
      </c>
      <c r="BB17" s="287">
        <v>42000</v>
      </c>
    </row>
    <row r="18" spans="1:54" ht="15.75" thickBot="1" x14ac:dyDescent="0.3">
      <c r="A18" s="121" t="s">
        <v>639</v>
      </c>
      <c r="B18" s="121" t="s">
        <v>640</v>
      </c>
      <c r="C18" s="122" t="s">
        <v>64</v>
      </c>
      <c r="D18" s="123"/>
      <c r="E18" s="123"/>
      <c r="F18" s="123"/>
      <c r="G18" s="124"/>
      <c r="H18" s="124"/>
      <c r="I18" s="140"/>
      <c r="J18" s="125"/>
      <c r="K18" s="124"/>
      <c r="L18" s="141">
        <v>25</v>
      </c>
      <c r="M18" s="127"/>
      <c r="N18" s="127"/>
      <c r="O18" s="127"/>
      <c r="P18" s="127"/>
      <c r="Q18" s="128">
        <v>14</v>
      </c>
      <c r="R18" s="23"/>
      <c r="S18" s="129">
        <f t="shared" si="7"/>
        <v>14</v>
      </c>
      <c r="T18" s="130">
        <f>IF($C18="",0,VLOOKUP($C18,[6]Hoja1!$C$11:$D$27,2,FALSE)*M18)+IF($D18="",0,VLOOKUP($D18,[6]Hoja1!$C$11:$D$27,2,FALSE)*N18)+IF($F18="",0,VLOOKUP($F18,[6]Hoja1!$C$11:$D$27,2,FALSE)*P18)+IF(R18="",0,R18*0.5)</f>
        <v>0</v>
      </c>
      <c r="U18" s="127" t="str">
        <f>IF(G18="x",4,"")</f>
        <v/>
      </c>
      <c r="V18" s="127">
        <v>0</v>
      </c>
      <c r="W18" s="133">
        <v>1.5</v>
      </c>
      <c r="X18" s="128"/>
      <c r="Y18" s="128"/>
      <c r="Z18" s="128"/>
      <c r="AA18" s="128"/>
      <c r="AB18" s="128">
        <v>4</v>
      </c>
      <c r="AC18" s="128"/>
      <c r="AD18" s="142">
        <v>1</v>
      </c>
      <c r="AE18" s="128"/>
      <c r="AF18" s="128"/>
      <c r="AG18" s="128"/>
      <c r="AH18" s="134">
        <f t="shared" si="9"/>
        <v>6.5</v>
      </c>
      <c r="AI18" s="143"/>
      <c r="AJ18" s="127"/>
      <c r="AK18" s="127"/>
      <c r="AL18" s="127"/>
      <c r="AM18" s="135"/>
      <c r="AN18" s="136">
        <f t="shared" si="10"/>
        <v>0</v>
      </c>
      <c r="AO18" s="144"/>
      <c r="AP18" s="144"/>
      <c r="AQ18" s="138">
        <f t="shared" si="11"/>
        <v>0</v>
      </c>
      <c r="AR18" s="139">
        <f t="shared" si="0"/>
        <v>20.5</v>
      </c>
      <c r="AS18" s="412">
        <f t="shared" si="1"/>
        <v>4.5</v>
      </c>
      <c r="AT18" s="355">
        <v>20.333333333333332</v>
      </c>
      <c r="AU18" s="356">
        <f t="shared" si="2"/>
        <v>12</v>
      </c>
      <c r="AV18" s="386">
        <f t="shared" si="3"/>
        <v>0</v>
      </c>
      <c r="AW18" s="358">
        <f t="shared" si="4"/>
        <v>0</v>
      </c>
      <c r="AX18" s="356">
        <f t="shared" si="8"/>
        <v>8.3333333333333321</v>
      </c>
      <c r="AY18" s="359">
        <f t="shared" si="5"/>
        <v>0.5901639344262295</v>
      </c>
      <c r="AZ18" s="360">
        <f t="shared" si="6"/>
        <v>0.40983606557377045</v>
      </c>
      <c r="BA18" s="287">
        <v>700000</v>
      </c>
      <c r="BB18" s="287">
        <v>28000</v>
      </c>
    </row>
    <row r="19" spans="1:54" ht="15.75" thickBot="1" x14ac:dyDescent="0.3">
      <c r="A19" s="121" t="s">
        <v>641</v>
      </c>
      <c r="B19" s="121" t="s">
        <v>642</v>
      </c>
      <c r="C19" s="122" t="s">
        <v>56</v>
      </c>
      <c r="D19" s="123"/>
      <c r="E19" s="123"/>
      <c r="F19" s="123"/>
      <c r="G19" s="124"/>
      <c r="H19" s="124"/>
      <c r="I19" s="140"/>
      <c r="J19" s="125"/>
      <c r="K19" s="124"/>
      <c r="L19" s="141">
        <v>54</v>
      </c>
      <c r="M19" s="127">
        <v>24</v>
      </c>
      <c r="N19" s="127"/>
      <c r="O19" s="127"/>
      <c r="P19" s="127"/>
      <c r="Q19" s="128"/>
      <c r="R19" s="23">
        <v>1</v>
      </c>
      <c r="S19" s="129">
        <f t="shared" si="7"/>
        <v>25</v>
      </c>
      <c r="T19" s="130">
        <f>IF($C19="",0,VLOOKUP($C19,[6]Hoja1!$C$11:$D$27,2,FALSE)*M19)+IF($D19="",0,VLOOKUP($D19,[6]Hoja1!$C$11:$D$27,2,FALSE)*N19)+IF($F19="",0,VLOOKUP($F19,[6]Hoja1!$C$11:$D$27,2,FALSE)*P19)+IF(R19="",0,R19*0.5)</f>
        <v>12.5</v>
      </c>
      <c r="U19" s="127" t="str">
        <f>IF(G19="x",4,"")</f>
        <v/>
      </c>
      <c r="V19" s="127"/>
      <c r="W19" s="133">
        <v>1.5</v>
      </c>
      <c r="X19" s="128"/>
      <c r="Y19" s="128"/>
      <c r="Z19" s="128"/>
      <c r="AA19" s="128"/>
      <c r="AB19" s="128"/>
      <c r="AC19" s="128">
        <v>1</v>
      </c>
      <c r="AD19" s="142"/>
      <c r="AE19" s="128">
        <v>1</v>
      </c>
      <c r="AF19" s="128">
        <v>5</v>
      </c>
      <c r="AG19" s="128" t="s">
        <v>643</v>
      </c>
      <c r="AH19" s="134">
        <f t="shared" si="9"/>
        <v>21</v>
      </c>
      <c r="AI19" s="143"/>
      <c r="AJ19" s="127"/>
      <c r="AK19" s="127"/>
      <c r="AL19" s="127"/>
      <c r="AM19" s="135"/>
      <c r="AN19" s="136">
        <f t="shared" si="10"/>
        <v>0</v>
      </c>
      <c r="AO19" s="144"/>
      <c r="AP19" s="144"/>
      <c r="AQ19" s="138">
        <f t="shared" si="11"/>
        <v>0</v>
      </c>
      <c r="AR19" s="139">
        <f t="shared" si="0"/>
        <v>46</v>
      </c>
      <c r="AS19" s="412">
        <f t="shared" si="1"/>
        <v>8</v>
      </c>
      <c r="AT19" s="355">
        <v>40.43333333333333</v>
      </c>
      <c r="AU19" s="356">
        <f t="shared" si="2"/>
        <v>16.666666666666668</v>
      </c>
      <c r="AV19" s="386">
        <f t="shared" si="3"/>
        <v>0</v>
      </c>
      <c r="AW19" s="358">
        <f t="shared" si="4"/>
        <v>0</v>
      </c>
      <c r="AX19" s="356">
        <f t="shared" si="8"/>
        <v>23.766666666666662</v>
      </c>
      <c r="AY19" s="359">
        <f t="shared" si="5"/>
        <v>0.41220115416323172</v>
      </c>
      <c r="AZ19" s="360">
        <f t="shared" si="6"/>
        <v>0.58779884583676822</v>
      </c>
      <c r="BA19" s="287">
        <v>2842143</v>
      </c>
      <c r="BB19" s="287">
        <v>52632.277777777781</v>
      </c>
    </row>
    <row r="20" spans="1:54" ht="15.75" thickBot="1" x14ac:dyDescent="0.3">
      <c r="A20" s="121" t="s">
        <v>644</v>
      </c>
      <c r="B20" s="121" t="s">
        <v>645</v>
      </c>
      <c r="C20" s="122" t="s">
        <v>595</v>
      </c>
      <c r="D20" s="123"/>
      <c r="E20" s="123"/>
      <c r="F20" s="123" t="s">
        <v>595</v>
      </c>
      <c r="G20" s="124"/>
      <c r="H20" s="124"/>
      <c r="I20" s="140"/>
      <c r="J20" s="125"/>
      <c r="K20" s="124"/>
      <c r="L20" s="141">
        <v>16</v>
      </c>
      <c r="M20" s="127">
        <v>5</v>
      </c>
      <c r="N20" s="127"/>
      <c r="O20" s="127"/>
      <c r="P20" s="127">
        <v>6</v>
      </c>
      <c r="Q20" s="128"/>
      <c r="R20" s="23" t="str">
        <f>IF(G20="x",1,"")</f>
        <v/>
      </c>
      <c r="S20" s="129">
        <f t="shared" si="7"/>
        <v>11</v>
      </c>
      <c r="T20" s="130">
        <f>IF($C20="",0,VLOOKUP($C20,[6]Hoja1!$C$11:$D$27,2,FALSE)*M20)+IF($D20="",0,VLOOKUP($D20,[6]Hoja1!$C$11:$D$27,2,FALSE)*N20)+IF($F20="",0,VLOOKUP($F20,[6]Hoja1!$C$11:$D$27,2,FALSE)*P20)+IF(R20="",0,R20*0.5)</f>
        <v>5.5</v>
      </c>
      <c r="U20" s="127" t="str">
        <f>IF(G20="x",4,"")</f>
        <v/>
      </c>
      <c r="V20" s="127"/>
      <c r="W20" s="133">
        <v>1.5</v>
      </c>
      <c r="X20" s="128"/>
      <c r="Y20" s="128"/>
      <c r="Z20" s="128"/>
      <c r="AA20" s="128"/>
      <c r="AB20" s="128"/>
      <c r="AC20" s="128">
        <v>1</v>
      </c>
      <c r="AD20" s="142"/>
      <c r="AE20" s="128"/>
      <c r="AF20" s="128"/>
      <c r="AG20" s="128"/>
      <c r="AH20" s="134">
        <f t="shared" si="9"/>
        <v>8</v>
      </c>
      <c r="AI20" s="143"/>
      <c r="AJ20" s="127"/>
      <c r="AK20" s="127"/>
      <c r="AL20" s="127"/>
      <c r="AM20" s="135"/>
      <c r="AN20" s="136">
        <f t="shared" si="10"/>
        <v>0</v>
      </c>
      <c r="AO20" s="144"/>
      <c r="AP20" s="144"/>
      <c r="AQ20" s="138">
        <f t="shared" si="11"/>
        <v>0</v>
      </c>
      <c r="AR20" s="139">
        <f t="shared" si="0"/>
        <v>19</v>
      </c>
      <c r="AS20" s="412">
        <f t="shared" si="1"/>
        <v>-3</v>
      </c>
      <c r="AT20" s="355">
        <v>15.25</v>
      </c>
      <c r="AU20" s="356">
        <f t="shared" si="2"/>
        <v>7.333333333333333</v>
      </c>
      <c r="AV20" s="386">
        <f t="shared" si="3"/>
        <v>0</v>
      </c>
      <c r="AW20" s="358">
        <f t="shared" si="4"/>
        <v>0</v>
      </c>
      <c r="AX20" s="356">
        <f t="shared" si="8"/>
        <v>7.916666666666667</v>
      </c>
      <c r="AY20" s="359">
        <f t="shared" si="5"/>
        <v>0.48087431693989069</v>
      </c>
      <c r="AZ20" s="360">
        <f t="shared" si="6"/>
        <v>0.51912568306010931</v>
      </c>
      <c r="BA20" s="287">
        <v>584250</v>
      </c>
      <c r="BB20" s="287">
        <v>36515.625</v>
      </c>
    </row>
    <row r="21" spans="1:54" ht="15.75" thickBot="1" x14ac:dyDescent="0.3">
      <c r="A21" s="121" t="s">
        <v>646</v>
      </c>
      <c r="B21" s="121" t="s">
        <v>647</v>
      </c>
      <c r="C21" s="122" t="s">
        <v>55</v>
      </c>
      <c r="D21" s="123"/>
      <c r="E21" s="123"/>
      <c r="F21" s="123"/>
      <c r="G21" s="124"/>
      <c r="H21" s="124"/>
      <c r="I21" s="140"/>
      <c r="J21" s="125"/>
      <c r="K21" s="124"/>
      <c r="L21" s="141">
        <v>18</v>
      </c>
      <c r="M21" s="127">
        <v>12</v>
      </c>
      <c r="N21" s="127"/>
      <c r="O21" s="127"/>
      <c r="P21" s="127"/>
      <c r="Q21" s="128"/>
      <c r="R21" s="23" t="str">
        <f>IF(G21="x",1,"")</f>
        <v/>
      </c>
      <c r="S21" s="129">
        <f t="shared" si="7"/>
        <v>12</v>
      </c>
      <c r="T21" s="130">
        <f>IF($C21="",0,VLOOKUP($C21,[6]Hoja1!$C$11:$D$27,2,FALSE)*M21)+IF($D21="",0,VLOOKUP($D21,[6]Hoja1!$C$11:$D$27,2,FALSE)*N21)+IF($F21="",0,VLOOKUP($F21,[6]Hoja1!$C$11:$D$27,2,FALSE)*P21)+IF(R21="",0,R21*0.5)</f>
        <v>7.1999999999999993</v>
      </c>
      <c r="U21" s="127" t="str">
        <f>IF(G21="x",4,"")</f>
        <v/>
      </c>
      <c r="V21" s="127"/>
      <c r="W21" s="133">
        <v>1.5</v>
      </c>
      <c r="X21" s="128"/>
      <c r="Y21" s="128"/>
      <c r="Z21" s="128"/>
      <c r="AA21" s="128"/>
      <c r="AB21" s="128"/>
      <c r="AC21" s="128"/>
      <c r="AD21" s="142"/>
      <c r="AE21" s="128"/>
      <c r="AF21" s="128"/>
      <c r="AG21" s="128"/>
      <c r="AH21" s="134">
        <f t="shared" si="9"/>
        <v>8.6999999999999993</v>
      </c>
      <c r="AI21" s="143"/>
      <c r="AJ21" s="127"/>
      <c r="AK21" s="127"/>
      <c r="AL21" s="127"/>
      <c r="AM21" s="135"/>
      <c r="AN21" s="136">
        <f t="shared" si="10"/>
        <v>0</v>
      </c>
      <c r="AO21" s="144"/>
      <c r="AP21" s="144"/>
      <c r="AQ21" s="138">
        <f t="shared" si="11"/>
        <v>0</v>
      </c>
      <c r="AR21" s="139">
        <f t="shared" si="0"/>
        <v>20.7</v>
      </c>
      <c r="AS21" s="412">
        <f t="shared" si="1"/>
        <v>-2.6999999999999993</v>
      </c>
      <c r="AT21" s="355">
        <v>14.2</v>
      </c>
      <c r="AU21" s="356">
        <f t="shared" si="2"/>
        <v>8</v>
      </c>
      <c r="AV21" s="386">
        <f t="shared" si="3"/>
        <v>0</v>
      </c>
      <c r="AW21" s="358">
        <f t="shared" si="4"/>
        <v>0</v>
      </c>
      <c r="AX21" s="356">
        <f t="shared" si="8"/>
        <v>6.1999999999999993</v>
      </c>
      <c r="AY21" s="359">
        <f t="shared" si="5"/>
        <v>0.56338028169014087</v>
      </c>
      <c r="AZ21" s="360">
        <f t="shared" si="6"/>
        <v>0.43661971830985913</v>
      </c>
      <c r="BA21" s="287">
        <v>700000</v>
      </c>
      <c r="BB21" s="287">
        <v>38888.888888888891</v>
      </c>
    </row>
    <row r="22" spans="1:54" ht="15.75" thickBot="1" x14ac:dyDescent="0.3">
      <c r="A22" s="121" t="s">
        <v>648</v>
      </c>
      <c r="B22" s="121" t="s">
        <v>649</v>
      </c>
      <c r="C22" s="122" t="s">
        <v>114</v>
      </c>
      <c r="D22" s="123"/>
      <c r="E22" s="123"/>
      <c r="F22" s="123"/>
      <c r="G22" s="124" t="s">
        <v>609</v>
      </c>
      <c r="H22" s="124"/>
      <c r="I22" s="140"/>
      <c r="J22" s="125"/>
      <c r="K22" s="124"/>
      <c r="L22" s="141">
        <v>54</v>
      </c>
      <c r="M22" s="127">
        <v>20</v>
      </c>
      <c r="N22" s="127"/>
      <c r="O22" s="127"/>
      <c r="P22" s="127"/>
      <c r="Q22" s="128"/>
      <c r="R22" s="23">
        <f>IF(G22="x",1,"")</f>
        <v>1</v>
      </c>
      <c r="S22" s="129">
        <f t="shared" si="7"/>
        <v>21</v>
      </c>
      <c r="T22" s="130">
        <f>IF($C22="",0,VLOOKUP($C22,[6]Hoja1!$C$11:$D$27,2,FALSE)*M22)+IF($D22="",0,VLOOKUP($D22,[6]Hoja1!$C$11:$D$27,2,FALSE)*N22)+IF($F22="",0,VLOOKUP($F22,[6]Hoja1!$C$11:$D$27,2,FALSE)*P22)+IF(R22="",0,R22*0.5)</f>
        <v>10.5</v>
      </c>
      <c r="U22" s="131">
        <f>IF(G22="x",8,"")</f>
        <v>8</v>
      </c>
      <c r="V22" s="131">
        <v>0</v>
      </c>
      <c r="W22" s="133">
        <v>1.5</v>
      </c>
      <c r="X22" s="128">
        <v>1</v>
      </c>
      <c r="Y22" s="128"/>
      <c r="Z22" s="128"/>
      <c r="AA22" s="128"/>
      <c r="AB22" s="128"/>
      <c r="AC22" s="128"/>
      <c r="AD22" s="142">
        <v>2</v>
      </c>
      <c r="AE22" s="128">
        <v>2</v>
      </c>
      <c r="AF22" s="128"/>
      <c r="AG22" s="128"/>
      <c r="AH22" s="134">
        <f t="shared" si="9"/>
        <v>25</v>
      </c>
      <c r="AI22" s="143"/>
      <c r="AJ22" s="127"/>
      <c r="AK22" s="127"/>
      <c r="AL22" s="127"/>
      <c r="AM22" s="135"/>
      <c r="AN22" s="136">
        <f t="shared" si="10"/>
        <v>0</v>
      </c>
      <c r="AO22" s="144"/>
      <c r="AP22" s="144"/>
      <c r="AQ22" s="138">
        <f t="shared" si="11"/>
        <v>0</v>
      </c>
      <c r="AR22" s="139">
        <f t="shared" si="0"/>
        <v>46</v>
      </c>
      <c r="AS22" s="412">
        <f t="shared" si="1"/>
        <v>8</v>
      </c>
      <c r="AT22" s="355">
        <v>40.466666666666669</v>
      </c>
      <c r="AU22" s="356">
        <f t="shared" si="2"/>
        <v>14</v>
      </c>
      <c r="AV22" s="386">
        <f t="shared" si="3"/>
        <v>0</v>
      </c>
      <c r="AW22" s="358">
        <f t="shared" si="4"/>
        <v>0</v>
      </c>
      <c r="AX22" s="356">
        <f t="shared" si="8"/>
        <v>26.466666666666669</v>
      </c>
      <c r="AY22" s="359">
        <f t="shared" si="5"/>
        <v>0.34596375617792419</v>
      </c>
      <c r="AZ22" s="360">
        <f t="shared" si="6"/>
        <v>0.65403624382207581</v>
      </c>
      <c r="BA22" s="287">
        <v>1912209</v>
      </c>
      <c r="BB22" s="287">
        <v>35411.277777777781</v>
      </c>
    </row>
    <row r="23" spans="1:54" ht="15.75" thickBot="1" x14ac:dyDescent="0.3">
      <c r="A23" s="121" t="s">
        <v>650</v>
      </c>
      <c r="B23" s="121" t="s">
        <v>651</v>
      </c>
      <c r="C23" s="122" t="s">
        <v>56</v>
      </c>
      <c r="D23" s="123"/>
      <c r="E23" s="123"/>
      <c r="F23" s="123"/>
      <c r="G23" s="124"/>
      <c r="H23" s="124"/>
      <c r="I23" s="140" t="s">
        <v>609</v>
      </c>
      <c r="J23" s="125" t="s">
        <v>205</v>
      </c>
      <c r="K23" s="124"/>
      <c r="L23" s="141">
        <v>54</v>
      </c>
      <c r="M23" s="127"/>
      <c r="N23" s="127"/>
      <c r="O23" s="127"/>
      <c r="P23" s="127"/>
      <c r="Q23" s="128"/>
      <c r="R23" s="23">
        <v>1</v>
      </c>
      <c r="S23" s="129">
        <f t="shared" si="7"/>
        <v>1</v>
      </c>
      <c r="T23" s="130">
        <f>IF($C23="",0,VLOOKUP($C23,[6]Hoja1!$C$11:$D$27,2,FALSE)*M23)+IF($D23="",0,VLOOKUP($D23,[6]Hoja1!$C$11:$D$27,2,FALSE)*N23)+IF($F23="",0,VLOOKUP($F23,[6]Hoja1!$C$11:$D$27,2,FALSE)*P23)+IF(R23="",0,R23*0.5)</f>
        <v>0.5</v>
      </c>
      <c r="U23" s="127" t="str">
        <f>IF(G23="x",4,"")</f>
        <v/>
      </c>
      <c r="V23" s="127"/>
      <c r="W23" s="133">
        <v>1.5</v>
      </c>
      <c r="X23" s="128"/>
      <c r="Y23" s="128"/>
      <c r="Z23" s="128"/>
      <c r="AA23" s="128"/>
      <c r="AB23" s="128"/>
      <c r="AC23" s="128"/>
      <c r="AD23" s="142"/>
      <c r="AE23" s="128">
        <v>5</v>
      </c>
      <c r="AF23" s="128"/>
      <c r="AG23" s="128" t="s">
        <v>652</v>
      </c>
      <c r="AH23" s="134">
        <f t="shared" si="9"/>
        <v>7</v>
      </c>
      <c r="AI23" s="143">
        <v>40</v>
      </c>
      <c r="AJ23" s="127"/>
      <c r="AK23" s="127"/>
      <c r="AL23" s="127"/>
      <c r="AM23" s="135"/>
      <c r="AN23" s="136">
        <f t="shared" si="10"/>
        <v>40</v>
      </c>
      <c r="AO23" s="144"/>
      <c r="AP23" s="144"/>
      <c r="AQ23" s="138">
        <f t="shared" si="11"/>
        <v>0</v>
      </c>
      <c r="AR23" s="139">
        <f t="shared" si="0"/>
        <v>48</v>
      </c>
      <c r="AS23" s="412">
        <f t="shared" si="1"/>
        <v>6</v>
      </c>
      <c r="AT23" s="355">
        <v>40.466666666666669</v>
      </c>
      <c r="AU23" s="356">
        <f t="shared" si="2"/>
        <v>0.66666666666666663</v>
      </c>
      <c r="AV23" s="386">
        <f t="shared" si="3"/>
        <v>26.666666666666668</v>
      </c>
      <c r="AW23" s="358">
        <f t="shared" si="4"/>
        <v>0</v>
      </c>
      <c r="AX23" s="356">
        <f t="shared" si="8"/>
        <v>13.133333333333336</v>
      </c>
      <c r="AY23" s="359">
        <f t="shared" si="5"/>
        <v>4.8309178743961338E-2</v>
      </c>
      <c r="AZ23" s="360">
        <f t="shared" si="6"/>
        <v>0.95169082125603865</v>
      </c>
      <c r="BA23" s="287">
        <v>2772047</v>
      </c>
      <c r="BB23" s="287">
        <v>51334.203703703701</v>
      </c>
    </row>
    <row r="24" spans="1:54" ht="15.75" thickBot="1" x14ac:dyDescent="0.3">
      <c r="A24" s="121" t="s">
        <v>653</v>
      </c>
      <c r="B24" s="121" t="s">
        <v>654</v>
      </c>
      <c r="C24" s="122" t="s">
        <v>64</v>
      </c>
      <c r="D24" s="123"/>
      <c r="E24" s="123"/>
      <c r="F24" s="123"/>
      <c r="G24" s="124" t="s">
        <v>609</v>
      </c>
      <c r="H24" s="124"/>
      <c r="I24" s="140"/>
      <c r="J24" s="125"/>
      <c r="K24" s="124"/>
      <c r="L24" s="141">
        <v>54</v>
      </c>
      <c r="M24" s="127">
        <v>18</v>
      </c>
      <c r="N24" s="127"/>
      <c r="O24" s="127"/>
      <c r="P24" s="127"/>
      <c r="Q24" s="128">
        <v>2</v>
      </c>
      <c r="R24" s="23">
        <f t="shared" ref="R24:R53" si="13">IF(G24="x",1,"")</f>
        <v>1</v>
      </c>
      <c r="S24" s="129">
        <f t="shared" si="7"/>
        <v>21</v>
      </c>
      <c r="T24" s="130">
        <f>IF($C24="",0,VLOOKUP($C24,[6]Hoja1!$C$11:$D$27,2,FALSE)*M24)+IF($D24="",0,VLOOKUP($D24,[6]Hoja1!$C$11:$D$27,2,FALSE)*N24)+IF($F24="",0,VLOOKUP($F24,[6]Hoja1!$C$11:$D$27,2,FALSE)*P24)+IF(R24="",0,R24*0.5)</f>
        <v>9.5</v>
      </c>
      <c r="U24" s="131">
        <f>IF(G24="x",6,"")</f>
        <v>6</v>
      </c>
      <c r="V24" s="131">
        <v>0</v>
      </c>
      <c r="W24" s="133">
        <v>1.5</v>
      </c>
      <c r="X24" s="128">
        <v>1</v>
      </c>
      <c r="Y24" s="128"/>
      <c r="Z24" s="128"/>
      <c r="AA24" s="128"/>
      <c r="AB24" s="128"/>
      <c r="AC24" s="128">
        <v>2</v>
      </c>
      <c r="AD24" s="142">
        <v>2</v>
      </c>
      <c r="AE24" s="128"/>
      <c r="AF24" s="128"/>
      <c r="AG24" s="128"/>
      <c r="AH24" s="134">
        <f t="shared" si="9"/>
        <v>22</v>
      </c>
      <c r="AI24" s="143"/>
      <c r="AJ24" s="127"/>
      <c r="AK24" s="127"/>
      <c r="AL24" s="127"/>
      <c r="AM24" s="135"/>
      <c r="AN24" s="136">
        <f t="shared" si="10"/>
        <v>0</v>
      </c>
      <c r="AO24" s="144"/>
      <c r="AP24" s="144"/>
      <c r="AQ24" s="138">
        <f t="shared" si="11"/>
        <v>0</v>
      </c>
      <c r="AR24" s="139">
        <f t="shared" si="0"/>
        <v>43</v>
      </c>
      <c r="AS24" s="412">
        <f t="shared" si="1"/>
        <v>11</v>
      </c>
      <c r="AT24" s="355">
        <v>40.466666666666669</v>
      </c>
      <c r="AU24" s="356">
        <f t="shared" si="2"/>
        <v>14</v>
      </c>
      <c r="AV24" s="386">
        <f t="shared" si="3"/>
        <v>0</v>
      </c>
      <c r="AW24" s="358">
        <f t="shared" si="4"/>
        <v>0</v>
      </c>
      <c r="AX24" s="356">
        <f t="shared" si="8"/>
        <v>26.466666666666669</v>
      </c>
      <c r="AY24" s="359">
        <f t="shared" si="5"/>
        <v>0.34596375617792419</v>
      </c>
      <c r="AZ24" s="360">
        <f t="shared" si="6"/>
        <v>0.65403624382207581</v>
      </c>
      <c r="BA24" s="287">
        <v>1555000</v>
      </c>
      <c r="BB24" s="287">
        <v>28796.296296296296</v>
      </c>
    </row>
    <row r="25" spans="1:54" ht="15.75" thickBot="1" x14ac:dyDescent="0.3">
      <c r="A25" s="121" t="s">
        <v>655</v>
      </c>
      <c r="B25" s="121" t="s">
        <v>656</v>
      </c>
      <c r="C25" s="122" t="s">
        <v>114</v>
      </c>
      <c r="D25" s="123"/>
      <c r="E25" s="123"/>
      <c r="F25" s="123"/>
      <c r="G25" s="124"/>
      <c r="H25" s="124"/>
      <c r="I25" s="140"/>
      <c r="J25" s="125"/>
      <c r="K25" s="124"/>
      <c r="L25" s="141">
        <v>22</v>
      </c>
      <c r="M25" s="127">
        <v>16</v>
      </c>
      <c r="N25" s="127"/>
      <c r="O25" s="127"/>
      <c r="P25" s="127"/>
      <c r="Q25" s="128"/>
      <c r="R25" s="23" t="str">
        <f t="shared" si="13"/>
        <v/>
      </c>
      <c r="S25" s="129">
        <f t="shared" si="7"/>
        <v>16</v>
      </c>
      <c r="T25" s="130">
        <f>IF($C25="",0,VLOOKUP($C25,[6]Hoja1!$C$11:$D$27,2,FALSE)*M25)+IF($D25="",0,VLOOKUP($D25,[6]Hoja1!$C$11:$D$27,2,FALSE)*N25)+IF($F25="",0,VLOOKUP($F25,[6]Hoja1!$C$11:$D$27,2,FALSE)*P25)+IF(R25="",0,R25*0.5)</f>
        <v>8</v>
      </c>
      <c r="U25" s="127" t="str">
        <f>IF(G25="x",4,"")</f>
        <v/>
      </c>
      <c r="V25" s="127">
        <v>0</v>
      </c>
      <c r="W25" s="133"/>
      <c r="X25" s="128"/>
      <c r="Y25" s="128"/>
      <c r="Z25" s="128"/>
      <c r="AA25" s="128"/>
      <c r="AB25" s="128"/>
      <c r="AC25" s="128"/>
      <c r="AD25" s="142"/>
      <c r="AE25" s="128"/>
      <c r="AF25" s="128"/>
      <c r="AG25" s="128"/>
      <c r="AH25" s="134">
        <f t="shared" si="9"/>
        <v>8</v>
      </c>
      <c r="AI25" s="143"/>
      <c r="AJ25" s="127"/>
      <c r="AK25" s="127"/>
      <c r="AL25" s="127"/>
      <c r="AM25" s="135"/>
      <c r="AN25" s="136">
        <f t="shared" si="10"/>
        <v>0</v>
      </c>
      <c r="AO25" s="144"/>
      <c r="AP25" s="144"/>
      <c r="AQ25" s="138">
        <f t="shared" si="11"/>
        <v>0</v>
      </c>
      <c r="AR25" s="139">
        <f t="shared" si="0"/>
        <v>24</v>
      </c>
      <c r="AS25" s="412">
        <f t="shared" si="1"/>
        <v>-2</v>
      </c>
      <c r="AT25" s="355">
        <v>16.266666666666666</v>
      </c>
      <c r="AU25" s="356">
        <f t="shared" si="2"/>
        <v>10.666666666666666</v>
      </c>
      <c r="AV25" s="386">
        <f t="shared" si="3"/>
        <v>0</v>
      </c>
      <c r="AW25" s="358">
        <f t="shared" si="4"/>
        <v>0</v>
      </c>
      <c r="AX25" s="356">
        <f t="shared" si="8"/>
        <v>5.6</v>
      </c>
      <c r="AY25" s="359">
        <f t="shared" si="5"/>
        <v>0.65573770491803274</v>
      </c>
      <c r="AZ25" s="360">
        <f t="shared" si="6"/>
        <v>0.34426229508196721</v>
      </c>
      <c r="BA25" s="287">
        <v>1008497</v>
      </c>
      <c r="BB25" s="287">
        <v>45840.772727272728</v>
      </c>
    </row>
    <row r="26" spans="1:54" ht="15.75" thickBot="1" x14ac:dyDescent="0.3">
      <c r="A26" s="121" t="s">
        <v>657</v>
      </c>
      <c r="B26" s="121" t="s">
        <v>658</v>
      </c>
      <c r="C26" s="122" t="s">
        <v>126</v>
      </c>
      <c r="D26" s="123"/>
      <c r="E26" s="123"/>
      <c r="F26" s="123"/>
      <c r="G26" s="124"/>
      <c r="H26" s="124"/>
      <c r="I26" s="140"/>
      <c r="J26" s="125"/>
      <c r="K26" s="124"/>
      <c r="L26" s="141">
        <v>14</v>
      </c>
      <c r="M26" s="127"/>
      <c r="N26" s="127"/>
      <c r="O26" s="127"/>
      <c r="P26" s="127"/>
      <c r="Q26" s="128"/>
      <c r="R26" s="23" t="str">
        <f t="shared" si="13"/>
        <v/>
      </c>
      <c r="S26" s="129">
        <f t="shared" si="7"/>
        <v>0</v>
      </c>
      <c r="T26" s="130">
        <f>IF($C26="",0,VLOOKUP($C26,[6]Hoja1!$C$11:$D$27,2,FALSE)*M26)+IF($D26="",0,VLOOKUP($D26,[6]Hoja1!$C$11:$D$27,2,FALSE)*N26)+IF($F26="",0,VLOOKUP($F26,[6]Hoja1!$C$11:$D$27,2,FALSE)*P26)+IF(R26="",0,R26*0.5)</f>
        <v>0</v>
      </c>
      <c r="U26" s="127" t="str">
        <f>IF(G26="x",4,"")</f>
        <v/>
      </c>
      <c r="V26" s="127"/>
      <c r="W26" s="133"/>
      <c r="X26" s="128"/>
      <c r="Y26" s="128">
        <v>14</v>
      </c>
      <c r="Z26" s="128"/>
      <c r="AA26" s="128"/>
      <c r="AB26" s="128"/>
      <c r="AC26" s="128"/>
      <c r="AD26" s="142"/>
      <c r="AE26" s="128"/>
      <c r="AF26" s="128"/>
      <c r="AG26" s="128"/>
      <c r="AH26" s="134">
        <f t="shared" si="9"/>
        <v>14</v>
      </c>
      <c r="AI26" s="143"/>
      <c r="AJ26" s="127"/>
      <c r="AK26" s="127"/>
      <c r="AL26" s="127"/>
      <c r="AM26" s="135"/>
      <c r="AN26" s="136">
        <f t="shared" si="10"/>
        <v>0</v>
      </c>
      <c r="AO26" s="144"/>
      <c r="AP26" s="144"/>
      <c r="AQ26" s="138">
        <f t="shared" si="11"/>
        <v>0</v>
      </c>
      <c r="AR26" s="139">
        <f t="shared" si="0"/>
        <v>14</v>
      </c>
      <c r="AS26" s="412">
        <f t="shared" si="1"/>
        <v>0</v>
      </c>
      <c r="AT26" s="355">
        <v>11.233333333333333</v>
      </c>
      <c r="AU26" s="356">
        <f t="shared" si="2"/>
        <v>0</v>
      </c>
      <c r="AV26" s="386">
        <f t="shared" si="3"/>
        <v>0</v>
      </c>
      <c r="AW26" s="358">
        <f t="shared" si="4"/>
        <v>0</v>
      </c>
      <c r="AX26" s="356">
        <f t="shared" si="8"/>
        <v>11.233333333333333</v>
      </c>
      <c r="AY26" s="359">
        <f t="shared" si="5"/>
        <v>0</v>
      </c>
      <c r="AZ26" s="360">
        <f t="shared" si="6"/>
        <v>1</v>
      </c>
      <c r="BA26" s="287">
        <v>420000</v>
      </c>
      <c r="BB26" s="287">
        <v>30000</v>
      </c>
    </row>
    <row r="27" spans="1:54" ht="15.75" thickBot="1" x14ac:dyDescent="0.3">
      <c r="A27" s="121" t="s">
        <v>659</v>
      </c>
      <c r="B27" s="121" t="s">
        <v>660</v>
      </c>
      <c r="C27" s="122" t="s">
        <v>109</v>
      </c>
      <c r="D27" s="123"/>
      <c r="E27" s="123"/>
      <c r="F27" s="123"/>
      <c r="G27" s="124"/>
      <c r="H27" s="124"/>
      <c r="I27" s="140"/>
      <c r="J27" s="125"/>
      <c r="K27" s="124"/>
      <c r="L27" s="141">
        <v>16</v>
      </c>
      <c r="M27" s="127">
        <v>7</v>
      </c>
      <c r="N27" s="127"/>
      <c r="O27" s="127"/>
      <c r="P27" s="127"/>
      <c r="Q27" s="128"/>
      <c r="R27" s="23" t="str">
        <f t="shared" si="13"/>
        <v/>
      </c>
      <c r="S27" s="129">
        <f t="shared" si="7"/>
        <v>7</v>
      </c>
      <c r="T27" s="130">
        <f>IF($C27="",0,VLOOKUP($C27,[6]Hoja1!$C$11:$D$27,2,FALSE)*M27)+IF($D27="",0,VLOOKUP($D27,[6]Hoja1!$C$11:$D$27,2,FALSE)*N27)+IF($F27="",0,VLOOKUP($F27,[6]Hoja1!$C$11:$D$27,2,FALSE)*P27)+IF(R27="",0,R27*0.5)</f>
        <v>3.5</v>
      </c>
      <c r="U27" s="127" t="str">
        <f>IF(G27="x",4,"")</f>
        <v/>
      </c>
      <c r="V27" s="127"/>
      <c r="W27" s="133">
        <v>1.5</v>
      </c>
      <c r="X27" s="128"/>
      <c r="Y27" s="128"/>
      <c r="Z27" s="128"/>
      <c r="AA27" s="128"/>
      <c r="AB27" s="128"/>
      <c r="AC27" s="128"/>
      <c r="AD27" s="142"/>
      <c r="AE27" s="128"/>
      <c r="AF27" s="128"/>
      <c r="AG27" s="128" t="s">
        <v>661</v>
      </c>
      <c r="AH27" s="134">
        <f t="shared" si="9"/>
        <v>5</v>
      </c>
      <c r="AI27" s="143"/>
      <c r="AJ27" s="127"/>
      <c r="AK27" s="127"/>
      <c r="AL27" s="127"/>
      <c r="AM27" s="135"/>
      <c r="AN27" s="136">
        <f t="shared" si="10"/>
        <v>0</v>
      </c>
      <c r="AO27" s="144"/>
      <c r="AP27" s="144"/>
      <c r="AQ27" s="138">
        <f t="shared" si="11"/>
        <v>0</v>
      </c>
      <c r="AR27" s="139">
        <f t="shared" si="0"/>
        <v>12</v>
      </c>
      <c r="AS27" s="412">
        <f t="shared" si="1"/>
        <v>4</v>
      </c>
      <c r="AT27" s="355">
        <v>11.133333333333333</v>
      </c>
      <c r="AU27" s="356">
        <f t="shared" si="2"/>
        <v>4.666666666666667</v>
      </c>
      <c r="AV27" s="386">
        <f t="shared" si="3"/>
        <v>0</v>
      </c>
      <c r="AW27" s="358">
        <f t="shared" si="4"/>
        <v>0</v>
      </c>
      <c r="AX27" s="356">
        <f t="shared" si="8"/>
        <v>6.4666666666666659</v>
      </c>
      <c r="AY27" s="359">
        <f t="shared" si="5"/>
        <v>0.41916167664670662</v>
      </c>
      <c r="AZ27" s="360">
        <f t="shared" si="6"/>
        <v>0.58083832335329333</v>
      </c>
      <c r="BA27" s="287">
        <v>1693688</v>
      </c>
      <c r="BB27" s="287">
        <v>105855.5</v>
      </c>
    </row>
    <row r="28" spans="1:54" ht="15.75" thickBot="1" x14ac:dyDescent="0.3">
      <c r="A28" s="121" t="s">
        <v>662</v>
      </c>
      <c r="B28" s="121" t="s">
        <v>663</v>
      </c>
      <c r="C28" s="122" t="s">
        <v>64</v>
      </c>
      <c r="D28" s="123"/>
      <c r="E28" s="123"/>
      <c r="F28" s="123"/>
      <c r="G28" s="124"/>
      <c r="H28" s="124"/>
      <c r="I28" s="140"/>
      <c r="J28" s="125"/>
      <c r="K28" s="124"/>
      <c r="L28" s="141">
        <v>48</v>
      </c>
      <c r="M28" s="127"/>
      <c r="N28" s="127"/>
      <c r="O28" s="127"/>
      <c r="P28" s="127"/>
      <c r="Q28" s="128">
        <v>28</v>
      </c>
      <c r="R28" s="23" t="str">
        <f t="shared" si="13"/>
        <v/>
      </c>
      <c r="S28" s="129">
        <f t="shared" si="7"/>
        <v>28</v>
      </c>
      <c r="T28" s="130">
        <f>IF($C28="",0,VLOOKUP($C28,[6]Hoja1!$C$11:$D$27,2,FALSE)*M28)+IF($D28="",0,VLOOKUP($D28,[6]Hoja1!$C$11:$D$27,2,FALSE)*N28)+IF($F28="",0,VLOOKUP($F28,[6]Hoja1!$C$11:$D$27,2,FALSE)*P28)+IF(R28="",0,R28*0.5)</f>
        <v>0</v>
      </c>
      <c r="U28" s="127" t="str">
        <f>IF(G28="x",4,"")</f>
        <v/>
      </c>
      <c r="V28" s="127">
        <v>0</v>
      </c>
      <c r="W28" s="133">
        <v>1.5</v>
      </c>
      <c r="X28" s="128"/>
      <c r="Y28" s="128"/>
      <c r="Z28" s="128"/>
      <c r="AA28" s="128"/>
      <c r="AB28" s="128"/>
      <c r="AC28" s="128"/>
      <c r="AD28" s="142">
        <v>2</v>
      </c>
      <c r="AE28" s="128"/>
      <c r="AF28" s="128"/>
      <c r="AG28" s="128"/>
      <c r="AH28" s="134">
        <f t="shared" si="9"/>
        <v>3.5</v>
      </c>
      <c r="AI28" s="143"/>
      <c r="AJ28" s="127"/>
      <c r="AK28" s="127"/>
      <c r="AL28" s="127"/>
      <c r="AM28" s="135"/>
      <c r="AN28" s="136">
        <f t="shared" si="10"/>
        <v>0</v>
      </c>
      <c r="AO28" s="144"/>
      <c r="AP28" s="144"/>
      <c r="AQ28" s="138">
        <f t="shared" si="11"/>
        <v>0</v>
      </c>
      <c r="AR28" s="139">
        <f t="shared" si="0"/>
        <v>31.5</v>
      </c>
      <c r="AS28" s="412">
        <f t="shared" si="1"/>
        <v>16.5</v>
      </c>
      <c r="AT28" s="355">
        <v>33.466666666666669</v>
      </c>
      <c r="AU28" s="356">
        <f t="shared" si="2"/>
        <v>18.666666666666668</v>
      </c>
      <c r="AV28" s="386">
        <f t="shared" si="3"/>
        <v>0</v>
      </c>
      <c r="AW28" s="358">
        <f t="shared" si="4"/>
        <v>0</v>
      </c>
      <c r="AX28" s="356">
        <f t="shared" si="8"/>
        <v>14.8</v>
      </c>
      <c r="AY28" s="359">
        <f t="shared" si="5"/>
        <v>0.55776892430278879</v>
      </c>
      <c r="AZ28" s="360">
        <f t="shared" si="6"/>
        <v>0.44223107569721115</v>
      </c>
      <c r="BA28" s="287">
        <v>1665000</v>
      </c>
      <c r="BB28" s="287">
        <v>34687.5</v>
      </c>
    </row>
    <row r="29" spans="1:54" ht="15.75" thickBot="1" x14ac:dyDescent="0.3">
      <c r="A29" s="121" t="s">
        <v>664</v>
      </c>
      <c r="B29" s="121" t="s">
        <v>665</v>
      </c>
      <c r="C29" s="122" t="s">
        <v>64</v>
      </c>
      <c r="D29" s="123"/>
      <c r="E29" s="123"/>
      <c r="F29" s="123"/>
      <c r="G29" s="124" t="s">
        <v>609</v>
      </c>
      <c r="H29" s="124"/>
      <c r="I29" s="140"/>
      <c r="J29" s="125"/>
      <c r="K29" s="124"/>
      <c r="L29" s="141">
        <v>54</v>
      </c>
      <c r="M29" s="127">
        <v>18</v>
      </c>
      <c r="N29" s="127"/>
      <c r="O29" s="127"/>
      <c r="P29" s="127"/>
      <c r="Q29" s="128">
        <v>8</v>
      </c>
      <c r="R29" s="23">
        <f t="shared" si="13"/>
        <v>1</v>
      </c>
      <c r="S29" s="129">
        <f t="shared" si="7"/>
        <v>27</v>
      </c>
      <c r="T29" s="130">
        <f>IF($C29="",0,VLOOKUP($C29,[6]Hoja1!$C$11:$D$27,2,FALSE)*M29)+IF($D29="",0,VLOOKUP($D29,[6]Hoja1!$C$11:$D$27,2,FALSE)*N29)+IF($F29="",0,VLOOKUP($F29,[6]Hoja1!$C$11:$D$27,2,FALSE)*P29)+IF(R29="",0,R29*0.5)</f>
        <v>9.5</v>
      </c>
      <c r="U29" s="131">
        <f>IF(G29="x",7,"")</f>
        <v>7</v>
      </c>
      <c r="V29" s="131">
        <v>0</v>
      </c>
      <c r="W29" s="133">
        <v>1.5</v>
      </c>
      <c r="X29" s="128"/>
      <c r="Y29" s="128"/>
      <c r="Z29" s="128"/>
      <c r="AA29" s="128"/>
      <c r="AB29" s="128"/>
      <c r="AC29" s="128">
        <v>1</v>
      </c>
      <c r="AD29" s="142">
        <v>1</v>
      </c>
      <c r="AE29" s="128"/>
      <c r="AF29" s="128"/>
      <c r="AG29" s="128"/>
      <c r="AH29" s="134">
        <f t="shared" si="9"/>
        <v>20</v>
      </c>
      <c r="AI29" s="143"/>
      <c r="AJ29" s="127"/>
      <c r="AK29" s="127"/>
      <c r="AL29" s="127"/>
      <c r="AM29" s="135"/>
      <c r="AN29" s="136">
        <f t="shared" si="10"/>
        <v>0</v>
      </c>
      <c r="AO29" s="144"/>
      <c r="AP29" s="144"/>
      <c r="AQ29" s="138">
        <f t="shared" si="11"/>
        <v>0</v>
      </c>
      <c r="AR29" s="139">
        <f t="shared" si="0"/>
        <v>47</v>
      </c>
      <c r="AS29" s="412">
        <f t="shared" si="1"/>
        <v>7</v>
      </c>
      <c r="AT29" s="355">
        <v>40.450000000000003</v>
      </c>
      <c r="AU29" s="356">
        <f t="shared" si="2"/>
        <v>18</v>
      </c>
      <c r="AV29" s="386">
        <f t="shared" si="3"/>
        <v>0</v>
      </c>
      <c r="AW29" s="358">
        <f t="shared" si="4"/>
        <v>0</v>
      </c>
      <c r="AX29" s="356">
        <f t="shared" si="8"/>
        <v>22.450000000000003</v>
      </c>
      <c r="AY29" s="359">
        <f t="shared" si="5"/>
        <v>0.44499381953028427</v>
      </c>
      <c r="AZ29" s="360">
        <f t="shared" si="6"/>
        <v>0.55500618046971573</v>
      </c>
      <c r="BA29" s="287">
        <v>2218104</v>
      </c>
      <c r="BB29" s="287">
        <v>41076</v>
      </c>
    </row>
    <row r="30" spans="1:54" ht="15.75" thickBot="1" x14ac:dyDescent="0.3">
      <c r="A30" s="121" t="s">
        <v>666</v>
      </c>
      <c r="B30" s="121" t="s">
        <v>667</v>
      </c>
      <c r="C30" s="122" t="s">
        <v>109</v>
      </c>
      <c r="D30" s="123" t="s">
        <v>595</v>
      </c>
      <c r="E30" s="123"/>
      <c r="F30" s="123" t="s">
        <v>56</v>
      </c>
      <c r="G30" s="124" t="s">
        <v>609</v>
      </c>
      <c r="H30" s="124"/>
      <c r="I30" s="140"/>
      <c r="J30" s="125"/>
      <c r="K30" s="124"/>
      <c r="L30" s="141">
        <v>48</v>
      </c>
      <c r="M30" s="127">
        <v>12</v>
      </c>
      <c r="N30" s="127">
        <v>4</v>
      </c>
      <c r="O30" s="127"/>
      <c r="P30" s="127">
        <v>1</v>
      </c>
      <c r="Q30" s="128"/>
      <c r="R30" s="23">
        <f t="shared" si="13"/>
        <v>1</v>
      </c>
      <c r="S30" s="129">
        <f t="shared" si="7"/>
        <v>18</v>
      </c>
      <c r="T30" s="130">
        <f>IF($C30="",0,VLOOKUP($C30,[6]Hoja1!$C$11:$D$27,2,FALSE)*M30)+IF($D30="",0,VLOOKUP($D30,[6]Hoja1!$C$11:$D$27,2,FALSE)*N30)+IF($F30="",0,VLOOKUP($F30,[6]Hoja1!$C$11:$D$27,2,FALSE)*P30)+IF(R30="",0,R30*0.5)</f>
        <v>9</v>
      </c>
      <c r="U30" s="131">
        <f>IF(G30="x",6,"")</f>
        <v>6</v>
      </c>
      <c r="V30" s="131">
        <v>6</v>
      </c>
      <c r="W30" s="133"/>
      <c r="X30" s="128"/>
      <c r="Y30" s="128"/>
      <c r="Z30" s="128"/>
      <c r="AA30" s="128"/>
      <c r="AB30" s="128">
        <v>2</v>
      </c>
      <c r="AC30" s="128">
        <v>1</v>
      </c>
      <c r="AD30" s="142">
        <v>2</v>
      </c>
      <c r="AE30" s="128"/>
      <c r="AF30" s="128"/>
      <c r="AG30" s="128"/>
      <c r="AH30" s="134">
        <f t="shared" si="9"/>
        <v>26</v>
      </c>
      <c r="AI30" s="143"/>
      <c r="AJ30" s="127"/>
      <c r="AK30" s="127"/>
      <c r="AL30" s="127"/>
      <c r="AM30" s="135"/>
      <c r="AN30" s="136">
        <f t="shared" si="10"/>
        <v>0</v>
      </c>
      <c r="AO30" s="144"/>
      <c r="AP30" s="144"/>
      <c r="AQ30" s="138">
        <f t="shared" si="11"/>
        <v>0</v>
      </c>
      <c r="AR30" s="139">
        <f t="shared" si="0"/>
        <v>44</v>
      </c>
      <c r="AS30" s="412">
        <f t="shared" si="1"/>
        <v>4</v>
      </c>
      <c r="AT30" s="355">
        <v>32.4</v>
      </c>
      <c r="AU30" s="356">
        <f t="shared" si="2"/>
        <v>13.333333333333334</v>
      </c>
      <c r="AV30" s="386">
        <f t="shared" si="3"/>
        <v>0</v>
      </c>
      <c r="AW30" s="358">
        <f t="shared" si="4"/>
        <v>0</v>
      </c>
      <c r="AX30" s="356">
        <f t="shared" si="8"/>
        <v>19.066666666666663</v>
      </c>
      <c r="AY30" s="359">
        <f t="shared" si="5"/>
        <v>0.41152263374485598</v>
      </c>
      <c r="AZ30" s="360">
        <f t="shared" si="6"/>
        <v>0.58847736625514391</v>
      </c>
      <c r="BA30" s="287">
        <v>2000000</v>
      </c>
      <c r="BB30" s="287">
        <v>41666.666666666664</v>
      </c>
    </row>
    <row r="31" spans="1:54" ht="15.75" thickBot="1" x14ac:dyDescent="0.3">
      <c r="A31" s="121" t="s">
        <v>668</v>
      </c>
      <c r="B31" s="121" t="s">
        <v>669</v>
      </c>
      <c r="C31" s="122" t="s">
        <v>55</v>
      </c>
      <c r="D31" s="123"/>
      <c r="E31" s="123"/>
      <c r="F31" s="123" t="s">
        <v>55</v>
      </c>
      <c r="G31" s="124"/>
      <c r="H31" s="124"/>
      <c r="I31" s="140" t="s">
        <v>609</v>
      </c>
      <c r="J31" s="125" t="s">
        <v>155</v>
      </c>
      <c r="K31" s="124"/>
      <c r="L31" s="141">
        <v>54</v>
      </c>
      <c r="M31" s="127">
        <v>8</v>
      </c>
      <c r="N31" s="127"/>
      <c r="O31" s="127"/>
      <c r="P31" s="127">
        <v>2</v>
      </c>
      <c r="Q31" s="128"/>
      <c r="R31" s="23" t="str">
        <f t="shared" si="13"/>
        <v/>
      </c>
      <c r="S31" s="129">
        <f t="shared" si="7"/>
        <v>10</v>
      </c>
      <c r="T31" s="130">
        <f>IF($C31="",0,VLOOKUP($C31,[6]Hoja1!$C$11:$D$27,2,FALSE)*M31)+IF($D31="",0,VLOOKUP($D31,[6]Hoja1!$C$11:$D$27,2,FALSE)*N31)+IF($F31="",0,VLOOKUP($F31,[6]Hoja1!$C$11:$D$27,2,FALSE)*P31)+IF(R31="",0,R31*0.5)</f>
        <v>6</v>
      </c>
      <c r="U31" s="127" t="str">
        <f>IF(G31="x",4,"")</f>
        <v/>
      </c>
      <c r="V31" s="127"/>
      <c r="W31" s="133">
        <v>1.5</v>
      </c>
      <c r="X31" s="128"/>
      <c r="Y31" s="128"/>
      <c r="Z31" s="128"/>
      <c r="AA31" s="128"/>
      <c r="AB31" s="128"/>
      <c r="AC31" s="128"/>
      <c r="AD31" s="142"/>
      <c r="AE31" s="128"/>
      <c r="AF31" s="128"/>
      <c r="AG31" s="128"/>
      <c r="AH31" s="134">
        <f t="shared" si="9"/>
        <v>7.5</v>
      </c>
      <c r="AI31" s="143">
        <v>40</v>
      </c>
      <c r="AJ31" s="127"/>
      <c r="AK31" s="127"/>
      <c r="AL31" s="127"/>
      <c r="AM31" s="135"/>
      <c r="AN31" s="136">
        <f t="shared" si="10"/>
        <v>40</v>
      </c>
      <c r="AO31" s="144"/>
      <c r="AP31" s="144"/>
      <c r="AQ31" s="138">
        <f t="shared" si="11"/>
        <v>0</v>
      </c>
      <c r="AR31" s="139">
        <f t="shared" si="0"/>
        <v>57.5</v>
      </c>
      <c r="AS31" s="412">
        <f t="shared" si="1"/>
        <v>-3.5</v>
      </c>
      <c r="AT31" s="355">
        <v>40.383333333333333</v>
      </c>
      <c r="AU31" s="356">
        <f t="shared" si="2"/>
        <v>6.666666666666667</v>
      </c>
      <c r="AV31" s="386">
        <f t="shared" si="3"/>
        <v>26.666666666666668</v>
      </c>
      <c r="AW31" s="358">
        <f t="shared" si="4"/>
        <v>0</v>
      </c>
      <c r="AX31" s="356">
        <f t="shared" si="8"/>
        <v>7.0500000000000007</v>
      </c>
      <c r="AY31" s="359">
        <f t="shared" si="5"/>
        <v>0.48602673147023084</v>
      </c>
      <c r="AZ31" s="360">
        <f t="shared" si="6"/>
        <v>0.5139732685297691</v>
      </c>
      <c r="BA31" s="287">
        <v>2961659</v>
      </c>
      <c r="BB31" s="287">
        <v>54845.537037037036</v>
      </c>
    </row>
    <row r="32" spans="1:54" ht="15.75" thickBot="1" x14ac:dyDescent="0.3">
      <c r="A32" s="121" t="s">
        <v>670</v>
      </c>
      <c r="B32" s="121" t="s">
        <v>671</v>
      </c>
      <c r="C32" s="122" t="s">
        <v>126</v>
      </c>
      <c r="D32" s="123"/>
      <c r="E32" s="123"/>
      <c r="F32" s="123" t="s">
        <v>126</v>
      </c>
      <c r="G32" s="124"/>
      <c r="H32" s="124" t="s">
        <v>609</v>
      </c>
      <c r="I32" s="140"/>
      <c r="J32" s="125"/>
      <c r="K32" s="124"/>
      <c r="L32" s="141">
        <v>54</v>
      </c>
      <c r="M32" s="127">
        <v>8</v>
      </c>
      <c r="N32" s="127"/>
      <c r="O32" s="127"/>
      <c r="P32" s="127">
        <v>2</v>
      </c>
      <c r="Q32" s="128"/>
      <c r="R32" s="23" t="str">
        <f t="shared" si="13"/>
        <v/>
      </c>
      <c r="S32" s="129">
        <f t="shared" si="7"/>
        <v>10</v>
      </c>
      <c r="T32" s="130">
        <f>IF($C32="",0,VLOOKUP($C32,[6]Hoja1!$C$11:$D$27,2,FALSE)*M32)+IF($D32="",0,VLOOKUP($D32,[6]Hoja1!$C$11:$D$27,2,FALSE)*N32)+IF($F32="",0,VLOOKUP($F32,[6]Hoja1!$C$11:$D$27,2,FALSE)*P32)+IF(R32="",0,R32*0.5)</f>
        <v>3</v>
      </c>
      <c r="U32" s="127" t="str">
        <f>IF(G32="x",4,"")</f>
        <v/>
      </c>
      <c r="V32" s="127"/>
      <c r="W32" s="133">
        <v>1.5</v>
      </c>
      <c r="X32" s="128"/>
      <c r="Y32" s="128">
        <v>8</v>
      </c>
      <c r="Z32" s="128"/>
      <c r="AA32" s="128"/>
      <c r="AB32" s="128"/>
      <c r="AC32" s="128"/>
      <c r="AD32" s="142">
        <v>5</v>
      </c>
      <c r="AE32" s="128"/>
      <c r="AF32" s="128"/>
      <c r="AG32" s="128"/>
      <c r="AH32" s="134">
        <f t="shared" si="9"/>
        <v>17.5</v>
      </c>
      <c r="AI32" s="143"/>
      <c r="AJ32" s="127">
        <v>14</v>
      </c>
      <c r="AK32" s="127"/>
      <c r="AL32" s="127"/>
      <c r="AM32" s="135"/>
      <c r="AN32" s="136">
        <f t="shared" si="10"/>
        <v>14</v>
      </c>
      <c r="AO32" s="144"/>
      <c r="AP32" s="144"/>
      <c r="AQ32" s="138">
        <f t="shared" si="11"/>
        <v>0</v>
      </c>
      <c r="AR32" s="139">
        <f t="shared" si="0"/>
        <v>41.5</v>
      </c>
      <c r="AS32" s="412">
        <f t="shared" si="1"/>
        <v>12.5</v>
      </c>
      <c r="AT32" s="355">
        <v>40.333333333333336</v>
      </c>
      <c r="AU32" s="356">
        <f t="shared" si="2"/>
        <v>6.666666666666667</v>
      </c>
      <c r="AV32" s="386">
        <f t="shared" si="3"/>
        <v>9.3333333333333339</v>
      </c>
      <c r="AW32" s="358">
        <f t="shared" si="4"/>
        <v>0</v>
      </c>
      <c r="AX32" s="356">
        <f t="shared" si="8"/>
        <v>24.333333333333336</v>
      </c>
      <c r="AY32" s="359">
        <f t="shared" si="5"/>
        <v>0.21505376344086019</v>
      </c>
      <c r="AZ32" s="360">
        <f t="shared" si="6"/>
        <v>0.78494623655913975</v>
      </c>
      <c r="BA32" s="287">
        <v>3964833</v>
      </c>
      <c r="BB32" s="287">
        <v>73422.833333333328</v>
      </c>
    </row>
    <row r="33" spans="1:54" ht="15.75" thickBot="1" x14ac:dyDescent="0.3">
      <c r="A33" s="121" t="s">
        <v>672</v>
      </c>
      <c r="B33" s="121" t="s">
        <v>673</v>
      </c>
      <c r="C33" s="122" t="s">
        <v>126</v>
      </c>
      <c r="D33" s="123"/>
      <c r="E33" s="123"/>
      <c r="F33" s="123" t="s">
        <v>126</v>
      </c>
      <c r="G33" s="124"/>
      <c r="H33" s="124"/>
      <c r="I33" s="140"/>
      <c r="J33" s="125"/>
      <c r="K33" s="124"/>
      <c r="L33" s="141">
        <v>54</v>
      </c>
      <c r="M33" s="127">
        <v>24</v>
      </c>
      <c r="N33" s="127"/>
      <c r="O33" s="127"/>
      <c r="P33" s="127">
        <v>2</v>
      </c>
      <c r="Q33" s="128"/>
      <c r="R33" s="23" t="str">
        <f t="shared" si="13"/>
        <v/>
      </c>
      <c r="S33" s="129">
        <f t="shared" si="7"/>
        <v>26</v>
      </c>
      <c r="T33" s="130">
        <f>IF($C33="",0,VLOOKUP($C33,[6]Hoja1!$C$11:$D$27,2,FALSE)*M33)+IF($D33="",0,VLOOKUP($D33,[6]Hoja1!$C$11:$D$27,2,FALSE)*N33)+IF($F33="",0,VLOOKUP($F33,[6]Hoja1!$C$11:$D$27,2,FALSE)*P33)+IF(R33="",0,R33*0.5)</f>
        <v>7.7999999999999989</v>
      </c>
      <c r="U33" s="127" t="str">
        <f>IF(G33="x",4,"")</f>
        <v/>
      </c>
      <c r="V33" s="127"/>
      <c r="W33" s="133"/>
      <c r="X33" s="128"/>
      <c r="Y33" s="128">
        <v>10</v>
      </c>
      <c r="Z33" s="128"/>
      <c r="AA33" s="128"/>
      <c r="AB33" s="128"/>
      <c r="AC33" s="128"/>
      <c r="AD33" s="142">
        <v>5</v>
      </c>
      <c r="AE33" s="128"/>
      <c r="AF33" s="128"/>
      <c r="AG33" s="128"/>
      <c r="AH33" s="134">
        <f t="shared" si="9"/>
        <v>22.799999999999997</v>
      </c>
      <c r="AI33" s="143"/>
      <c r="AJ33" s="127"/>
      <c r="AK33" s="127"/>
      <c r="AL33" s="127"/>
      <c r="AM33" s="135"/>
      <c r="AN33" s="136">
        <f t="shared" si="10"/>
        <v>0</v>
      </c>
      <c r="AO33" s="144"/>
      <c r="AP33" s="144"/>
      <c r="AQ33" s="138">
        <f t="shared" si="11"/>
        <v>0</v>
      </c>
      <c r="AR33" s="139">
        <f t="shared" si="0"/>
        <v>48.8</v>
      </c>
      <c r="AS33" s="412">
        <f t="shared" si="1"/>
        <v>5.2000000000000028</v>
      </c>
      <c r="AT33" s="355">
        <v>40.466666666666669</v>
      </c>
      <c r="AU33" s="356">
        <f t="shared" si="2"/>
        <v>17.333333333333332</v>
      </c>
      <c r="AV33" s="386">
        <f t="shared" si="3"/>
        <v>0</v>
      </c>
      <c r="AW33" s="358">
        <f t="shared" si="4"/>
        <v>0</v>
      </c>
      <c r="AX33" s="356">
        <f t="shared" si="8"/>
        <v>23.133333333333336</v>
      </c>
      <c r="AY33" s="359">
        <f t="shared" si="5"/>
        <v>0.42833607907742993</v>
      </c>
      <c r="AZ33" s="360">
        <f t="shared" si="6"/>
        <v>0.57166392092257001</v>
      </c>
      <c r="BA33" s="287">
        <v>1934317</v>
      </c>
      <c r="BB33" s="287">
        <v>35820.685185185182</v>
      </c>
    </row>
    <row r="34" spans="1:54" ht="15.75" thickBot="1" x14ac:dyDescent="0.3">
      <c r="A34" s="121" t="s">
        <v>674</v>
      </c>
      <c r="B34" s="121" t="s">
        <v>675</v>
      </c>
      <c r="C34" s="122" t="s">
        <v>98</v>
      </c>
      <c r="D34" s="123"/>
      <c r="E34" s="123"/>
      <c r="F34" s="123"/>
      <c r="G34" s="124"/>
      <c r="H34" s="124"/>
      <c r="I34" s="140" t="s">
        <v>609</v>
      </c>
      <c r="J34" s="125" t="s">
        <v>155</v>
      </c>
      <c r="K34" s="124"/>
      <c r="L34" s="141">
        <v>54</v>
      </c>
      <c r="M34" s="127">
        <v>16</v>
      </c>
      <c r="N34" s="127"/>
      <c r="O34" s="127"/>
      <c r="P34" s="127"/>
      <c r="Q34" s="128"/>
      <c r="R34" s="23" t="str">
        <f t="shared" si="13"/>
        <v/>
      </c>
      <c r="S34" s="129">
        <f t="shared" si="7"/>
        <v>16</v>
      </c>
      <c r="T34" s="130">
        <f>IF($C34="",0,VLOOKUP($C34,[6]Hoja1!$C$11:$D$27,2,FALSE)*M34)+IF($D34="",0,VLOOKUP($D34,[6]Hoja1!$C$11:$D$27,2,FALSE)*N34)+IF($F34="",0,VLOOKUP($F34,[6]Hoja1!$C$11:$D$27,2,FALSE)*P34)+IF(R34="",0,R34*0.5)</f>
        <v>8</v>
      </c>
      <c r="U34" s="127" t="str">
        <f>IF(G34="x",4,"")</f>
        <v/>
      </c>
      <c r="V34" s="127"/>
      <c r="W34" s="133">
        <v>1.5</v>
      </c>
      <c r="X34" s="128"/>
      <c r="Y34" s="128"/>
      <c r="Z34" s="128"/>
      <c r="AA34" s="128"/>
      <c r="AB34" s="128">
        <v>2</v>
      </c>
      <c r="AC34" s="128"/>
      <c r="AD34" s="142">
        <v>1</v>
      </c>
      <c r="AE34" s="128">
        <v>1</v>
      </c>
      <c r="AF34" s="128"/>
      <c r="AG34" s="128"/>
      <c r="AH34" s="134">
        <f t="shared" si="9"/>
        <v>13.5</v>
      </c>
      <c r="AI34" s="143">
        <v>20</v>
      </c>
      <c r="AJ34" s="127"/>
      <c r="AK34" s="127"/>
      <c r="AL34" s="127"/>
      <c r="AM34" s="135"/>
      <c r="AN34" s="136">
        <f t="shared" si="10"/>
        <v>20</v>
      </c>
      <c r="AO34" s="144"/>
      <c r="AP34" s="144"/>
      <c r="AQ34" s="138">
        <f t="shared" si="11"/>
        <v>0</v>
      </c>
      <c r="AR34" s="139">
        <f t="shared" si="0"/>
        <v>49.5</v>
      </c>
      <c r="AS34" s="412">
        <f t="shared" si="1"/>
        <v>4.5</v>
      </c>
      <c r="AT34" s="355">
        <v>40.43333333333333</v>
      </c>
      <c r="AU34" s="356">
        <f t="shared" si="2"/>
        <v>12</v>
      </c>
      <c r="AV34" s="386">
        <f t="shared" si="3"/>
        <v>13.333333333333334</v>
      </c>
      <c r="AW34" s="358">
        <f t="shared" si="4"/>
        <v>0</v>
      </c>
      <c r="AX34" s="356">
        <f t="shared" si="8"/>
        <v>15.099999999999996</v>
      </c>
      <c r="AY34" s="359">
        <f t="shared" si="5"/>
        <v>0.44280442804428055</v>
      </c>
      <c r="AZ34" s="360">
        <f t="shared" si="6"/>
        <v>0.55719557195571956</v>
      </c>
      <c r="BA34" s="287">
        <v>2370721</v>
      </c>
      <c r="BB34" s="287">
        <v>43902.240740740737</v>
      </c>
    </row>
    <row r="35" spans="1:54" ht="15.75" thickBot="1" x14ac:dyDescent="0.3">
      <c r="A35" s="121" t="s">
        <v>676</v>
      </c>
      <c r="B35" s="121" t="s">
        <v>677</v>
      </c>
      <c r="C35" s="122" t="s">
        <v>64</v>
      </c>
      <c r="D35" s="123"/>
      <c r="E35" s="123"/>
      <c r="F35" s="123"/>
      <c r="G35" s="124" t="s">
        <v>609</v>
      </c>
      <c r="H35" s="124"/>
      <c r="I35" s="140"/>
      <c r="J35" s="125"/>
      <c r="K35" s="124"/>
      <c r="L35" s="141">
        <v>54</v>
      </c>
      <c r="M35" s="127">
        <v>24</v>
      </c>
      <c r="N35" s="127"/>
      <c r="O35" s="127"/>
      <c r="P35" s="127"/>
      <c r="Q35" s="128"/>
      <c r="R35" s="23">
        <f t="shared" si="13"/>
        <v>1</v>
      </c>
      <c r="S35" s="129">
        <f t="shared" si="7"/>
        <v>25</v>
      </c>
      <c r="T35" s="130">
        <f>IF($C35="",0,VLOOKUP($C35,[6]Hoja1!$C$11:$D$27,2,FALSE)*M35)+IF($D35="",0,VLOOKUP($D35,[6]Hoja1!$C$11:$D$27,2,FALSE)*N35)+IF($F35="",0,VLOOKUP($F35,[6]Hoja1!$C$11:$D$27,2,FALSE)*P35)+IF(R35="",0,R35*0.5)</f>
        <v>12.5</v>
      </c>
      <c r="U35" s="131">
        <f>IF(G35="x",6,"")</f>
        <v>6</v>
      </c>
      <c r="V35" s="131">
        <v>0</v>
      </c>
      <c r="W35" s="133">
        <v>1.5</v>
      </c>
      <c r="X35" s="128"/>
      <c r="Y35" s="128"/>
      <c r="Z35" s="128"/>
      <c r="AA35" s="128"/>
      <c r="AB35" s="128"/>
      <c r="AC35" s="128"/>
      <c r="AD35" s="142">
        <v>2</v>
      </c>
      <c r="AE35" s="128"/>
      <c r="AF35" s="128"/>
      <c r="AG35" s="128"/>
      <c r="AH35" s="134">
        <f t="shared" si="9"/>
        <v>22</v>
      </c>
      <c r="AI35" s="143"/>
      <c r="AJ35" s="127"/>
      <c r="AK35" s="127"/>
      <c r="AL35" s="127"/>
      <c r="AM35" s="135"/>
      <c r="AN35" s="136">
        <f t="shared" si="10"/>
        <v>0</v>
      </c>
      <c r="AO35" s="144"/>
      <c r="AP35" s="144"/>
      <c r="AQ35" s="138">
        <f t="shared" si="11"/>
        <v>0</v>
      </c>
      <c r="AR35" s="139">
        <f t="shared" si="0"/>
        <v>47</v>
      </c>
      <c r="AS35" s="412">
        <f t="shared" si="1"/>
        <v>7</v>
      </c>
      <c r="AT35" s="355">
        <v>40.450000000000003</v>
      </c>
      <c r="AU35" s="356">
        <f t="shared" si="2"/>
        <v>16.666666666666668</v>
      </c>
      <c r="AV35" s="386">
        <f t="shared" si="3"/>
        <v>0</v>
      </c>
      <c r="AW35" s="358">
        <f t="shared" si="4"/>
        <v>0</v>
      </c>
      <c r="AX35" s="356">
        <f t="shared" si="8"/>
        <v>23.783333333333335</v>
      </c>
      <c r="AY35" s="359">
        <f t="shared" si="5"/>
        <v>0.41203131437989288</v>
      </c>
      <c r="AZ35" s="360">
        <f t="shared" si="6"/>
        <v>0.58796868562010718</v>
      </c>
      <c r="BA35" s="287">
        <v>1831299</v>
      </c>
      <c r="BB35" s="287">
        <v>33912.944444444445</v>
      </c>
    </row>
    <row r="36" spans="1:54" ht="15.75" thickBot="1" x14ac:dyDescent="0.3">
      <c r="A36" s="121" t="s">
        <v>678</v>
      </c>
      <c r="B36" s="121" t="s">
        <v>679</v>
      </c>
      <c r="C36" s="122" t="s">
        <v>64</v>
      </c>
      <c r="D36" s="123"/>
      <c r="E36" s="123"/>
      <c r="F36" s="123"/>
      <c r="G36" s="124" t="s">
        <v>609</v>
      </c>
      <c r="H36" s="124"/>
      <c r="I36" s="140"/>
      <c r="J36" s="125"/>
      <c r="K36" s="124"/>
      <c r="L36" s="141">
        <v>54</v>
      </c>
      <c r="M36" s="127">
        <v>16</v>
      </c>
      <c r="N36" s="127"/>
      <c r="O36" s="127"/>
      <c r="P36" s="127"/>
      <c r="Q36" s="128"/>
      <c r="R36" s="23">
        <f t="shared" si="13"/>
        <v>1</v>
      </c>
      <c r="S36" s="129">
        <f t="shared" si="7"/>
        <v>17</v>
      </c>
      <c r="T36" s="130">
        <f>IF($C36="",0,VLOOKUP($C36,[6]Hoja1!$C$11:$D$27,2,FALSE)*M36)+IF($D36="",0,VLOOKUP($D36,[6]Hoja1!$C$11:$D$27,2,FALSE)*N36)+IF($F36="",0,VLOOKUP($F36,[6]Hoja1!$C$11:$D$27,2,FALSE)*P36)+IF(R36="",0,R36*0.5)</f>
        <v>8.5</v>
      </c>
      <c r="U36" s="131">
        <f>IF(G36="x",5,"")</f>
        <v>5</v>
      </c>
      <c r="V36" s="131">
        <v>0</v>
      </c>
      <c r="W36" s="133">
        <v>1.5</v>
      </c>
      <c r="X36" s="128"/>
      <c r="Y36" s="128"/>
      <c r="Z36" s="128"/>
      <c r="AA36" s="128"/>
      <c r="AB36" s="128">
        <v>4</v>
      </c>
      <c r="AC36" s="128">
        <v>2</v>
      </c>
      <c r="AD36" s="142">
        <v>3</v>
      </c>
      <c r="AE36" s="128"/>
      <c r="AF36" s="128"/>
      <c r="AG36" s="128"/>
      <c r="AH36" s="134">
        <f t="shared" si="9"/>
        <v>24</v>
      </c>
      <c r="AI36" s="143"/>
      <c r="AJ36" s="127"/>
      <c r="AK36" s="127"/>
      <c r="AL36" s="127"/>
      <c r="AM36" s="135"/>
      <c r="AN36" s="136">
        <f t="shared" si="10"/>
        <v>0</v>
      </c>
      <c r="AO36" s="144"/>
      <c r="AP36" s="144"/>
      <c r="AQ36" s="138">
        <f t="shared" si="11"/>
        <v>0</v>
      </c>
      <c r="AR36" s="139">
        <f t="shared" ref="AR36:AR53" si="14">+S36+AH36+AN36+AQ36</f>
        <v>41</v>
      </c>
      <c r="AS36" s="412">
        <f t="shared" ref="AS36:AS53" si="15">+L36-AR36</f>
        <v>13</v>
      </c>
      <c r="AT36" s="355">
        <v>40.466666666666669</v>
      </c>
      <c r="AU36" s="356">
        <f t="shared" ref="AU36:AU53" si="16">+(S36+AB36)*40/60</f>
        <v>14</v>
      </c>
      <c r="AV36" s="386">
        <f t="shared" ref="AV36:AV53" si="17">+AN36*40/60</f>
        <v>0</v>
      </c>
      <c r="AW36" s="358">
        <f t="shared" ref="AW36:AW53" si="18">+AQ36*0.666666666666667</f>
        <v>0</v>
      </c>
      <c r="AX36" s="356">
        <f t="shared" si="8"/>
        <v>26.466666666666669</v>
      </c>
      <c r="AY36" s="359">
        <f t="shared" si="5"/>
        <v>0.34596375617792419</v>
      </c>
      <c r="AZ36" s="360">
        <f t="shared" si="6"/>
        <v>0.65403624382207581</v>
      </c>
      <c r="BA36" s="287">
        <v>2346651</v>
      </c>
      <c r="BB36" s="287">
        <v>43456.5</v>
      </c>
    </row>
    <row r="37" spans="1:54" ht="15.75" thickBot="1" x14ac:dyDescent="0.3">
      <c r="A37" s="121" t="s">
        <v>680</v>
      </c>
      <c r="B37" s="121" t="s">
        <v>681</v>
      </c>
      <c r="C37" s="122" t="s">
        <v>109</v>
      </c>
      <c r="D37" s="123"/>
      <c r="E37" s="123"/>
      <c r="F37" s="123" t="s">
        <v>109</v>
      </c>
      <c r="G37" s="124"/>
      <c r="H37" s="124"/>
      <c r="I37" s="140"/>
      <c r="J37" s="125"/>
      <c r="K37" s="124"/>
      <c r="L37" s="141">
        <v>43</v>
      </c>
      <c r="M37" s="127">
        <v>19</v>
      </c>
      <c r="N37" s="127"/>
      <c r="O37" s="127"/>
      <c r="P37" s="127">
        <v>4</v>
      </c>
      <c r="Q37" s="128">
        <v>2</v>
      </c>
      <c r="R37" s="23" t="str">
        <f t="shared" si="13"/>
        <v/>
      </c>
      <c r="S37" s="129">
        <f t="shared" si="7"/>
        <v>25</v>
      </c>
      <c r="T37" s="130">
        <f>IF($C37="",0,VLOOKUP($C37,[6]Hoja1!$C$11:$D$27,2,FALSE)*M37)+IF($D37="",0,VLOOKUP($D37,[6]Hoja1!$C$11:$D$27,2,FALSE)*N37)+IF($F37="",0,VLOOKUP($F37,[6]Hoja1!$C$11:$D$27,2,FALSE)*P37)+IF(R37="",0,R37*0.5)</f>
        <v>11.5</v>
      </c>
      <c r="U37" s="127" t="str">
        <f>IF(G37="x",4,"")</f>
        <v/>
      </c>
      <c r="V37" s="127"/>
      <c r="W37" s="133">
        <v>1.5</v>
      </c>
      <c r="X37" s="128"/>
      <c r="Y37" s="128"/>
      <c r="Z37" s="128"/>
      <c r="AA37" s="128"/>
      <c r="AB37" s="128"/>
      <c r="AC37" s="128"/>
      <c r="AD37" s="142"/>
      <c r="AE37" s="128"/>
      <c r="AF37" s="128"/>
      <c r="AG37" s="128"/>
      <c r="AH37" s="134">
        <f t="shared" si="9"/>
        <v>13</v>
      </c>
      <c r="AI37" s="143"/>
      <c r="AJ37" s="127"/>
      <c r="AK37" s="127"/>
      <c r="AL37" s="127"/>
      <c r="AM37" s="135"/>
      <c r="AN37" s="136">
        <f t="shared" si="10"/>
        <v>0</v>
      </c>
      <c r="AO37" s="144"/>
      <c r="AP37" s="144"/>
      <c r="AQ37" s="138">
        <f t="shared" si="11"/>
        <v>0</v>
      </c>
      <c r="AR37" s="139">
        <f t="shared" si="14"/>
        <v>38</v>
      </c>
      <c r="AS37" s="412">
        <f t="shared" si="15"/>
        <v>5</v>
      </c>
      <c r="AT37" s="355">
        <v>29.316666666666666</v>
      </c>
      <c r="AU37" s="356">
        <f t="shared" si="16"/>
        <v>16.666666666666668</v>
      </c>
      <c r="AV37" s="386">
        <f t="shared" si="17"/>
        <v>0</v>
      </c>
      <c r="AW37" s="358">
        <f t="shared" si="18"/>
        <v>0</v>
      </c>
      <c r="AX37" s="356">
        <f t="shared" si="8"/>
        <v>12.649999999999999</v>
      </c>
      <c r="AY37" s="359">
        <f t="shared" si="5"/>
        <v>0.56850483229107451</v>
      </c>
      <c r="AZ37" s="360">
        <f t="shared" si="6"/>
        <v>0.43149516770892549</v>
      </c>
      <c r="BA37" s="287">
        <v>2400000</v>
      </c>
      <c r="BB37" s="287">
        <v>55813.953488372092</v>
      </c>
    </row>
    <row r="38" spans="1:54" ht="15.75" thickBot="1" x14ac:dyDescent="0.3">
      <c r="A38" s="121" t="s">
        <v>682</v>
      </c>
      <c r="B38" s="121" t="s">
        <v>683</v>
      </c>
      <c r="C38" s="122" t="s">
        <v>64</v>
      </c>
      <c r="D38" s="123" t="s">
        <v>56</v>
      </c>
      <c r="E38" s="123"/>
      <c r="F38" s="123"/>
      <c r="G38" s="124" t="s">
        <v>609</v>
      </c>
      <c r="H38" s="124"/>
      <c r="I38" s="140"/>
      <c r="J38" s="125"/>
      <c r="K38" s="124"/>
      <c r="L38" s="141">
        <v>54</v>
      </c>
      <c r="M38" s="127">
        <v>20</v>
      </c>
      <c r="N38" s="127">
        <v>4</v>
      </c>
      <c r="O38" s="127"/>
      <c r="P38" s="127"/>
      <c r="Q38" s="128">
        <v>4</v>
      </c>
      <c r="R38" s="23">
        <f t="shared" si="13"/>
        <v>1</v>
      </c>
      <c r="S38" s="129">
        <f t="shared" si="7"/>
        <v>29</v>
      </c>
      <c r="T38" s="130">
        <f>IF($C38="",0,VLOOKUP($C38,[6]Hoja1!$C$11:$D$27,2,FALSE)*M38)+IF($D38="",0,VLOOKUP($D38,[6]Hoja1!$C$11:$D$27,2,FALSE)*N38)+IF($F38="",0,VLOOKUP($F38,[6]Hoja1!$C$11:$D$27,2,FALSE)*P38)+IF(R38="",0,R38*0.5)</f>
        <v>12.5</v>
      </c>
      <c r="U38" s="131">
        <f>IF(G38="x",4,"")</f>
        <v>4</v>
      </c>
      <c r="V38" s="131">
        <v>0</v>
      </c>
      <c r="W38" s="133">
        <v>1.5</v>
      </c>
      <c r="X38" s="128"/>
      <c r="Y38" s="128"/>
      <c r="Z38" s="128"/>
      <c r="AA38" s="128"/>
      <c r="AB38" s="128"/>
      <c r="AC38" s="128">
        <v>1</v>
      </c>
      <c r="AD38" s="142">
        <v>2</v>
      </c>
      <c r="AE38" s="128"/>
      <c r="AF38" s="128"/>
      <c r="AG38" s="128"/>
      <c r="AH38" s="134">
        <f t="shared" si="9"/>
        <v>21</v>
      </c>
      <c r="AI38" s="143"/>
      <c r="AJ38" s="127"/>
      <c r="AK38" s="127"/>
      <c r="AL38" s="127"/>
      <c r="AM38" s="135"/>
      <c r="AN38" s="136">
        <f t="shared" si="10"/>
        <v>0</v>
      </c>
      <c r="AO38" s="144"/>
      <c r="AP38" s="144"/>
      <c r="AQ38" s="138">
        <f t="shared" si="11"/>
        <v>0</v>
      </c>
      <c r="AR38" s="139">
        <f t="shared" si="14"/>
        <v>50</v>
      </c>
      <c r="AS38" s="412">
        <f t="shared" si="15"/>
        <v>4</v>
      </c>
      <c r="AT38" s="355">
        <v>40.43333333333333</v>
      </c>
      <c r="AU38" s="356">
        <f t="shared" si="16"/>
        <v>19.333333333333332</v>
      </c>
      <c r="AV38" s="386">
        <f t="shared" si="17"/>
        <v>0</v>
      </c>
      <c r="AW38" s="358">
        <f t="shared" si="18"/>
        <v>0</v>
      </c>
      <c r="AX38" s="356">
        <f t="shared" si="8"/>
        <v>21.099999999999998</v>
      </c>
      <c r="AY38" s="359">
        <f t="shared" si="5"/>
        <v>0.47815333882934874</v>
      </c>
      <c r="AZ38" s="360">
        <f t="shared" si="6"/>
        <v>0.52184666117065126</v>
      </c>
      <c r="BA38" s="287">
        <v>2520072</v>
      </c>
      <c r="BB38" s="287">
        <v>46668</v>
      </c>
    </row>
    <row r="39" spans="1:54" ht="15.75" thickBot="1" x14ac:dyDescent="0.3">
      <c r="A39" s="121" t="s">
        <v>684</v>
      </c>
      <c r="B39" s="121" t="s">
        <v>685</v>
      </c>
      <c r="C39" s="122" t="s">
        <v>126</v>
      </c>
      <c r="D39" s="123"/>
      <c r="E39" s="123"/>
      <c r="F39" s="123" t="s">
        <v>126</v>
      </c>
      <c r="G39" s="124"/>
      <c r="H39" s="124"/>
      <c r="I39" s="140"/>
      <c r="J39" s="125"/>
      <c r="K39" s="124"/>
      <c r="L39" s="141">
        <v>54</v>
      </c>
      <c r="M39" s="127">
        <v>18</v>
      </c>
      <c r="N39" s="127"/>
      <c r="O39" s="127"/>
      <c r="P39" s="127">
        <v>2</v>
      </c>
      <c r="Q39" s="128"/>
      <c r="R39" s="23" t="str">
        <f t="shared" si="13"/>
        <v/>
      </c>
      <c r="S39" s="129">
        <f t="shared" si="7"/>
        <v>20</v>
      </c>
      <c r="T39" s="130">
        <f>IF($C39="",0,VLOOKUP($C39,[6]Hoja1!$C$11:$D$27,2,FALSE)*M39)+IF($D39="",0,VLOOKUP($D39,[6]Hoja1!$C$11:$D$27,2,FALSE)*N39)+IF($F39="",0,VLOOKUP($F39,[6]Hoja1!$C$11:$D$27,2,FALSE)*P39)+IF(R39="",0,R39*0.5)</f>
        <v>5.9999999999999991</v>
      </c>
      <c r="U39" s="127" t="str">
        <f>IF(G39="x",4,"")</f>
        <v/>
      </c>
      <c r="V39" s="127"/>
      <c r="W39" s="133"/>
      <c r="X39" s="128"/>
      <c r="Y39" s="128">
        <v>8</v>
      </c>
      <c r="Z39" s="128"/>
      <c r="AA39" s="128"/>
      <c r="AB39" s="128"/>
      <c r="AC39" s="128"/>
      <c r="AD39" s="142">
        <v>5</v>
      </c>
      <c r="AE39" s="128"/>
      <c r="AF39" s="128"/>
      <c r="AG39" s="128"/>
      <c r="AH39" s="134">
        <f t="shared" si="9"/>
        <v>19</v>
      </c>
      <c r="AI39" s="143"/>
      <c r="AJ39" s="127"/>
      <c r="AK39" s="127"/>
      <c r="AL39" s="127"/>
      <c r="AM39" s="135"/>
      <c r="AN39" s="136">
        <f t="shared" si="10"/>
        <v>0</v>
      </c>
      <c r="AO39" s="144"/>
      <c r="AP39" s="144"/>
      <c r="AQ39" s="138">
        <f t="shared" si="11"/>
        <v>0</v>
      </c>
      <c r="AR39" s="139">
        <f t="shared" si="14"/>
        <v>39</v>
      </c>
      <c r="AS39" s="412">
        <f t="shared" si="15"/>
        <v>15</v>
      </c>
      <c r="AT39" s="355">
        <v>40.450000000000003</v>
      </c>
      <c r="AU39" s="356">
        <f t="shared" si="16"/>
        <v>13.333333333333334</v>
      </c>
      <c r="AV39" s="386">
        <f t="shared" si="17"/>
        <v>0</v>
      </c>
      <c r="AW39" s="358">
        <f t="shared" si="18"/>
        <v>0</v>
      </c>
      <c r="AX39" s="356">
        <f t="shared" si="8"/>
        <v>27.116666666666667</v>
      </c>
      <c r="AY39" s="359">
        <f t="shared" si="5"/>
        <v>0.3296250515039143</v>
      </c>
      <c r="AZ39" s="360">
        <f t="shared" si="6"/>
        <v>0.6703749484960857</v>
      </c>
      <c r="BA39" s="287">
        <v>2616359</v>
      </c>
      <c r="BB39" s="287">
        <v>48451.092592592591</v>
      </c>
    </row>
    <row r="40" spans="1:54" ht="15.75" thickBot="1" x14ac:dyDescent="0.3">
      <c r="A40" s="121" t="s">
        <v>686</v>
      </c>
      <c r="B40" s="121" t="s">
        <v>687</v>
      </c>
      <c r="C40" s="122" t="s">
        <v>114</v>
      </c>
      <c r="D40" s="123"/>
      <c r="E40" s="123"/>
      <c r="F40" s="123"/>
      <c r="G40" s="124" t="s">
        <v>609</v>
      </c>
      <c r="H40" s="124"/>
      <c r="I40" s="140"/>
      <c r="J40" s="125"/>
      <c r="K40" s="124"/>
      <c r="L40" s="141">
        <v>54</v>
      </c>
      <c r="M40" s="127">
        <v>22</v>
      </c>
      <c r="N40" s="127"/>
      <c r="O40" s="127"/>
      <c r="P40" s="127"/>
      <c r="Q40" s="128"/>
      <c r="R40" s="23">
        <f t="shared" si="13"/>
        <v>1</v>
      </c>
      <c r="S40" s="129">
        <f t="shared" si="7"/>
        <v>23</v>
      </c>
      <c r="T40" s="130">
        <f>IF($C40="",0,VLOOKUP($C40,[6]Hoja1!$C$11:$D$27,2,FALSE)*M40)+IF($D40="",0,VLOOKUP($D40,[6]Hoja1!$C$11:$D$27,2,FALSE)*N40)+IF($F40="",0,VLOOKUP($F40,[6]Hoja1!$C$11:$D$27,2,FALSE)*P40)+IF(R40="",0,R40*0.5)</f>
        <v>11.5</v>
      </c>
      <c r="U40" s="131">
        <f>IF(G40="x",8,"")</f>
        <v>8</v>
      </c>
      <c r="V40" s="131">
        <v>0</v>
      </c>
      <c r="W40" s="133">
        <v>1.5</v>
      </c>
      <c r="X40" s="128"/>
      <c r="Y40" s="128"/>
      <c r="Z40" s="128"/>
      <c r="AA40" s="128"/>
      <c r="AB40" s="128">
        <v>3</v>
      </c>
      <c r="AC40" s="128">
        <v>1</v>
      </c>
      <c r="AD40" s="142">
        <v>2</v>
      </c>
      <c r="AE40" s="128"/>
      <c r="AF40" s="128"/>
      <c r="AG40" s="128"/>
      <c r="AH40" s="134">
        <f t="shared" si="9"/>
        <v>27</v>
      </c>
      <c r="AI40" s="143"/>
      <c r="AJ40" s="127"/>
      <c r="AK40" s="127"/>
      <c r="AL40" s="127"/>
      <c r="AM40" s="135"/>
      <c r="AN40" s="136">
        <f t="shared" si="10"/>
        <v>0</v>
      </c>
      <c r="AO40" s="144"/>
      <c r="AP40" s="144"/>
      <c r="AQ40" s="138">
        <f t="shared" si="11"/>
        <v>0</v>
      </c>
      <c r="AR40" s="139">
        <f t="shared" si="14"/>
        <v>50</v>
      </c>
      <c r="AS40" s="412">
        <f t="shared" si="15"/>
        <v>4</v>
      </c>
      <c r="AT40" s="355">
        <v>40.450000000000003</v>
      </c>
      <c r="AU40" s="356">
        <f t="shared" si="16"/>
        <v>17.333333333333332</v>
      </c>
      <c r="AV40" s="386">
        <f t="shared" si="17"/>
        <v>0</v>
      </c>
      <c r="AW40" s="358">
        <f t="shared" si="18"/>
        <v>0</v>
      </c>
      <c r="AX40" s="356">
        <f t="shared" si="8"/>
        <v>23.116666666666671</v>
      </c>
      <c r="AY40" s="359">
        <f t="shared" si="5"/>
        <v>0.42851256695508855</v>
      </c>
      <c r="AZ40" s="360">
        <f t="shared" si="6"/>
        <v>0.57148743304491145</v>
      </c>
      <c r="BA40" s="287">
        <v>2174149</v>
      </c>
      <c r="BB40" s="287">
        <v>40262.018518518518</v>
      </c>
    </row>
    <row r="41" spans="1:54" ht="15.75" thickBot="1" x14ac:dyDescent="0.3">
      <c r="A41" s="121" t="s">
        <v>688</v>
      </c>
      <c r="B41" s="121" t="s">
        <v>689</v>
      </c>
      <c r="C41" s="122" t="s">
        <v>114</v>
      </c>
      <c r="D41" s="123"/>
      <c r="E41" s="123"/>
      <c r="F41" s="123"/>
      <c r="G41" s="124"/>
      <c r="H41" s="124"/>
      <c r="I41" s="140"/>
      <c r="J41" s="125"/>
      <c r="K41" s="124"/>
      <c r="L41" s="141">
        <v>54</v>
      </c>
      <c r="M41" s="127"/>
      <c r="N41" s="127"/>
      <c r="O41" s="127"/>
      <c r="P41" s="127"/>
      <c r="Q41" s="128">
        <v>32</v>
      </c>
      <c r="R41" s="23" t="str">
        <f t="shared" si="13"/>
        <v/>
      </c>
      <c r="S41" s="129">
        <f t="shared" si="7"/>
        <v>32</v>
      </c>
      <c r="T41" s="130">
        <f>IF($C41="",0,VLOOKUP($C41,[6]Hoja1!$C$11:$D$27,2,FALSE)*M41)+IF($D41="",0,VLOOKUP($D41,[6]Hoja1!$C$11:$D$27,2,FALSE)*N41)+IF($F41="",0,VLOOKUP($F41,[6]Hoja1!$C$11:$D$27,2,FALSE)*P41)+IF(R41="",0,R41*0.5)</f>
        <v>0</v>
      </c>
      <c r="U41" s="127" t="str">
        <f>IF(G41="x",4,"")</f>
        <v/>
      </c>
      <c r="V41" s="127">
        <v>0</v>
      </c>
      <c r="W41" s="133">
        <v>1.5</v>
      </c>
      <c r="X41" s="128"/>
      <c r="Y41" s="128"/>
      <c r="Z41" s="128"/>
      <c r="AA41" s="128"/>
      <c r="AB41" s="128"/>
      <c r="AC41" s="128">
        <v>1</v>
      </c>
      <c r="AD41" s="142"/>
      <c r="AE41" s="128"/>
      <c r="AF41" s="128"/>
      <c r="AG41" s="128"/>
      <c r="AH41" s="134">
        <f t="shared" si="9"/>
        <v>2.5</v>
      </c>
      <c r="AI41" s="143"/>
      <c r="AJ41" s="127"/>
      <c r="AK41" s="127"/>
      <c r="AL41" s="127"/>
      <c r="AM41" s="135"/>
      <c r="AN41" s="136">
        <f t="shared" si="10"/>
        <v>0</v>
      </c>
      <c r="AO41" s="144"/>
      <c r="AP41" s="144"/>
      <c r="AQ41" s="138">
        <f t="shared" si="11"/>
        <v>0</v>
      </c>
      <c r="AR41" s="139">
        <f t="shared" si="14"/>
        <v>34.5</v>
      </c>
      <c r="AS41" s="412">
        <f t="shared" si="15"/>
        <v>19.5</v>
      </c>
      <c r="AT41" s="355">
        <v>40.466666666666669</v>
      </c>
      <c r="AU41" s="356">
        <f t="shared" si="16"/>
        <v>21.333333333333332</v>
      </c>
      <c r="AV41" s="386">
        <f t="shared" si="17"/>
        <v>0</v>
      </c>
      <c r="AW41" s="358">
        <f t="shared" si="18"/>
        <v>0</v>
      </c>
      <c r="AX41" s="356">
        <f t="shared" si="8"/>
        <v>19.133333333333336</v>
      </c>
      <c r="AY41" s="359">
        <f t="shared" si="5"/>
        <v>0.52718286655683688</v>
      </c>
      <c r="AZ41" s="360">
        <f t="shared" si="6"/>
        <v>0.47281713344316317</v>
      </c>
      <c r="BA41" s="287">
        <v>1691250</v>
      </c>
      <c r="BB41" s="287">
        <v>31319.444444444445</v>
      </c>
    </row>
    <row r="42" spans="1:54" ht="15.75" thickBot="1" x14ac:dyDescent="0.3">
      <c r="A42" s="121" t="s">
        <v>690</v>
      </c>
      <c r="B42" s="121" t="s">
        <v>691</v>
      </c>
      <c r="C42" s="122" t="s">
        <v>99</v>
      </c>
      <c r="D42" s="123" t="s">
        <v>56</v>
      </c>
      <c r="E42" s="123"/>
      <c r="F42" s="123"/>
      <c r="G42" s="124"/>
      <c r="H42" s="124"/>
      <c r="I42" s="140"/>
      <c r="J42" s="125"/>
      <c r="K42" s="124"/>
      <c r="L42" s="141">
        <v>54</v>
      </c>
      <c r="M42" s="127">
        <v>22</v>
      </c>
      <c r="N42" s="127">
        <v>4</v>
      </c>
      <c r="O42" s="127"/>
      <c r="P42" s="127"/>
      <c r="Q42" s="128"/>
      <c r="R42" s="23" t="str">
        <f t="shared" si="13"/>
        <v/>
      </c>
      <c r="S42" s="129">
        <f t="shared" si="7"/>
        <v>26</v>
      </c>
      <c r="T42" s="130">
        <f>IF($C42="",0,VLOOKUP($C42,[6]Hoja1!$C$11:$D$27,2,FALSE)*M42)+IF($D42="",0,VLOOKUP($D42,[6]Hoja1!$C$11:$D$27,2,FALSE)*N42)+IF($F42="",0,VLOOKUP($F42,[6]Hoja1!$C$11:$D$27,2,FALSE)*P42)+IF(R42="",0,R42*0.5)</f>
        <v>8.6</v>
      </c>
      <c r="U42" s="127" t="str">
        <f>IF(G42="x",4,"")</f>
        <v/>
      </c>
      <c r="V42" s="127"/>
      <c r="W42" s="133">
        <v>1.5</v>
      </c>
      <c r="X42" s="128"/>
      <c r="Y42" s="128"/>
      <c r="Z42" s="128"/>
      <c r="AA42" s="128"/>
      <c r="AB42" s="128">
        <v>3</v>
      </c>
      <c r="AC42" s="128"/>
      <c r="AD42" s="142"/>
      <c r="AE42" s="128"/>
      <c r="AF42" s="128"/>
      <c r="AG42" s="128"/>
      <c r="AH42" s="134">
        <f t="shared" si="9"/>
        <v>13.1</v>
      </c>
      <c r="AI42" s="143"/>
      <c r="AJ42" s="127"/>
      <c r="AK42" s="127"/>
      <c r="AL42" s="127"/>
      <c r="AM42" s="135"/>
      <c r="AN42" s="136">
        <f t="shared" si="10"/>
        <v>0</v>
      </c>
      <c r="AO42" s="144"/>
      <c r="AP42" s="144"/>
      <c r="AQ42" s="138">
        <f t="shared" si="11"/>
        <v>0</v>
      </c>
      <c r="AR42" s="139">
        <f t="shared" si="14"/>
        <v>39.1</v>
      </c>
      <c r="AS42" s="412">
        <f t="shared" si="15"/>
        <v>14.899999999999999</v>
      </c>
      <c r="AT42" s="355">
        <v>40.466666666666669</v>
      </c>
      <c r="AU42" s="356">
        <f t="shared" si="16"/>
        <v>19.333333333333332</v>
      </c>
      <c r="AV42" s="386">
        <f t="shared" si="17"/>
        <v>0</v>
      </c>
      <c r="AW42" s="358">
        <f t="shared" si="18"/>
        <v>0</v>
      </c>
      <c r="AX42" s="356">
        <f t="shared" si="8"/>
        <v>21.133333333333336</v>
      </c>
      <c r="AY42" s="359">
        <f t="shared" si="5"/>
        <v>0.47775947281713338</v>
      </c>
      <c r="AZ42" s="360">
        <f t="shared" si="6"/>
        <v>0.52224052718286662</v>
      </c>
      <c r="BA42" s="287">
        <v>2824833</v>
      </c>
      <c r="BB42" s="287">
        <v>52311.722222222219</v>
      </c>
    </row>
    <row r="43" spans="1:54" ht="15.75" thickBot="1" x14ac:dyDescent="0.3">
      <c r="A43" s="121" t="s">
        <v>692</v>
      </c>
      <c r="B43" s="121" t="s">
        <v>693</v>
      </c>
      <c r="C43" s="122" t="s">
        <v>114</v>
      </c>
      <c r="D43" s="123"/>
      <c r="E43" s="123"/>
      <c r="F43" s="123" t="s">
        <v>61</v>
      </c>
      <c r="G43" s="124"/>
      <c r="H43" s="124"/>
      <c r="I43" s="140"/>
      <c r="J43" s="125"/>
      <c r="K43" s="124"/>
      <c r="L43" s="141">
        <v>54</v>
      </c>
      <c r="M43" s="127">
        <v>25</v>
      </c>
      <c r="N43" s="127"/>
      <c r="O43" s="127"/>
      <c r="P43" s="127">
        <v>2</v>
      </c>
      <c r="Q43" s="128"/>
      <c r="R43" s="23" t="str">
        <f t="shared" si="13"/>
        <v/>
      </c>
      <c r="S43" s="129">
        <f t="shared" si="7"/>
        <v>27</v>
      </c>
      <c r="T43" s="130">
        <f>IF($C43="",0,VLOOKUP($C43,[6]Hoja1!$C$11:$D$27,2,FALSE)*M43)+IF($D43="",0,VLOOKUP($D43,[6]Hoja1!$C$11:$D$27,2,FALSE)*N43)+IF($F43="",0,VLOOKUP($F43,[6]Hoja1!$C$11:$D$27,2,FALSE)*P43)+IF(R43="",0,R43*0.5)</f>
        <v>13.5</v>
      </c>
      <c r="U43" s="127" t="str">
        <f>IF(G43="x",4,"")</f>
        <v/>
      </c>
      <c r="V43" s="127">
        <v>0</v>
      </c>
      <c r="W43" s="133">
        <v>1.5</v>
      </c>
      <c r="X43" s="128"/>
      <c r="Y43" s="128"/>
      <c r="Z43" s="128"/>
      <c r="AA43" s="128"/>
      <c r="AB43" s="128"/>
      <c r="AC43" s="128">
        <v>1</v>
      </c>
      <c r="AD43" s="142"/>
      <c r="AE43" s="128"/>
      <c r="AF43" s="128"/>
      <c r="AG43" s="128"/>
      <c r="AH43" s="134">
        <f t="shared" si="9"/>
        <v>16</v>
      </c>
      <c r="AI43" s="143"/>
      <c r="AJ43" s="127"/>
      <c r="AK43" s="127"/>
      <c r="AL43" s="127"/>
      <c r="AM43" s="135"/>
      <c r="AN43" s="136">
        <f t="shared" si="10"/>
        <v>0</v>
      </c>
      <c r="AO43" s="144"/>
      <c r="AP43" s="144"/>
      <c r="AQ43" s="138">
        <f t="shared" si="11"/>
        <v>0</v>
      </c>
      <c r="AR43" s="139">
        <f t="shared" si="14"/>
        <v>43</v>
      </c>
      <c r="AS43" s="412">
        <f t="shared" si="15"/>
        <v>11</v>
      </c>
      <c r="AT43" s="355">
        <v>40.43333333333333</v>
      </c>
      <c r="AU43" s="356">
        <f t="shared" si="16"/>
        <v>18</v>
      </c>
      <c r="AV43" s="386">
        <f t="shared" si="17"/>
        <v>0</v>
      </c>
      <c r="AW43" s="358">
        <f t="shared" si="18"/>
        <v>0</v>
      </c>
      <c r="AX43" s="356">
        <f t="shared" si="8"/>
        <v>22.43333333333333</v>
      </c>
      <c r="AY43" s="359">
        <f t="shared" si="5"/>
        <v>0.4451772464962902</v>
      </c>
      <c r="AZ43" s="360">
        <f t="shared" si="6"/>
        <v>0.5548227535037098</v>
      </c>
      <c r="BA43" s="287">
        <v>2946313</v>
      </c>
      <c r="BB43" s="287">
        <v>54561.351851851854</v>
      </c>
    </row>
    <row r="44" spans="1:54" ht="15.75" thickBot="1" x14ac:dyDescent="0.3">
      <c r="A44" s="121" t="s">
        <v>694</v>
      </c>
      <c r="B44" s="121" t="s">
        <v>695</v>
      </c>
      <c r="C44" s="122" t="s">
        <v>55</v>
      </c>
      <c r="D44" s="123"/>
      <c r="E44" s="123"/>
      <c r="F44" s="123"/>
      <c r="G44" s="124" t="s">
        <v>609</v>
      </c>
      <c r="H44" s="124"/>
      <c r="I44" s="140"/>
      <c r="J44" s="125"/>
      <c r="K44" s="124"/>
      <c r="L44" s="141">
        <v>54</v>
      </c>
      <c r="M44" s="127">
        <v>18</v>
      </c>
      <c r="N44" s="127"/>
      <c r="O44" s="127"/>
      <c r="P44" s="127"/>
      <c r="Q44" s="128"/>
      <c r="R44" s="23">
        <f t="shared" si="13"/>
        <v>1</v>
      </c>
      <c r="S44" s="129">
        <f t="shared" si="7"/>
        <v>19</v>
      </c>
      <c r="T44" s="130">
        <f>IF($C44="",0,VLOOKUP($C44,[6]Hoja1!$C$11:$D$27,2,FALSE)*M44)+IF($D44="",0,VLOOKUP($D44,[6]Hoja1!$C$11:$D$27,2,FALSE)*N44)+IF($F44="",0,VLOOKUP($F44,[6]Hoja1!$C$11:$D$27,2,FALSE)*P44)+IF(R44="",0,R44*0.5)</f>
        <v>11.299999999999999</v>
      </c>
      <c r="U44" s="131">
        <f>IF(G44="x",8,"")</f>
        <v>8</v>
      </c>
      <c r="V44" s="131">
        <v>8</v>
      </c>
      <c r="W44" s="133">
        <v>1.5</v>
      </c>
      <c r="X44" s="128"/>
      <c r="Y44" s="128"/>
      <c r="Z44" s="128"/>
      <c r="AA44" s="128"/>
      <c r="AB44" s="128">
        <v>5</v>
      </c>
      <c r="AC44" s="128"/>
      <c r="AD44" s="142">
        <v>2</v>
      </c>
      <c r="AE44" s="128"/>
      <c r="AF44" s="128"/>
      <c r="AG44" s="128"/>
      <c r="AH44" s="134">
        <f t="shared" si="9"/>
        <v>35.799999999999997</v>
      </c>
      <c r="AI44" s="143"/>
      <c r="AJ44" s="127"/>
      <c r="AK44" s="127"/>
      <c r="AL44" s="127"/>
      <c r="AM44" s="135"/>
      <c r="AN44" s="136">
        <f t="shared" si="10"/>
        <v>0</v>
      </c>
      <c r="AO44" s="144"/>
      <c r="AP44" s="144"/>
      <c r="AQ44" s="138">
        <f t="shared" si="11"/>
        <v>0</v>
      </c>
      <c r="AR44" s="139">
        <f t="shared" si="14"/>
        <v>54.8</v>
      </c>
      <c r="AS44" s="412">
        <f t="shared" si="15"/>
        <v>-0.79999999999999716</v>
      </c>
      <c r="AT44" s="355">
        <v>40.466666666666669</v>
      </c>
      <c r="AU44" s="356">
        <f t="shared" si="16"/>
        <v>16</v>
      </c>
      <c r="AV44" s="386">
        <f t="shared" si="17"/>
        <v>0</v>
      </c>
      <c r="AW44" s="358">
        <f t="shared" si="18"/>
        <v>0</v>
      </c>
      <c r="AX44" s="356">
        <f t="shared" si="8"/>
        <v>24.466666666666669</v>
      </c>
      <c r="AY44" s="359">
        <f t="shared" si="5"/>
        <v>0.39538714991762763</v>
      </c>
      <c r="AZ44" s="360">
        <f t="shared" si="6"/>
        <v>0.60461285008237231</v>
      </c>
      <c r="BA44" s="287">
        <v>1742500</v>
      </c>
      <c r="BB44" s="287">
        <v>32268.518518518518</v>
      </c>
    </row>
    <row r="45" spans="1:54" ht="15.75" thickBot="1" x14ac:dyDescent="0.3">
      <c r="A45" s="121" t="s">
        <v>696</v>
      </c>
      <c r="B45" s="121" t="s">
        <v>697</v>
      </c>
      <c r="C45" s="122" t="s">
        <v>126</v>
      </c>
      <c r="D45" s="123"/>
      <c r="E45" s="123"/>
      <c r="F45" s="123"/>
      <c r="G45" s="124"/>
      <c r="H45" s="124"/>
      <c r="I45" s="140"/>
      <c r="J45" s="125"/>
      <c r="K45" s="124"/>
      <c r="L45" s="141">
        <v>10</v>
      </c>
      <c r="M45" s="127"/>
      <c r="N45" s="127"/>
      <c r="O45" s="127"/>
      <c r="P45" s="127"/>
      <c r="Q45" s="128"/>
      <c r="R45" s="23" t="str">
        <f t="shared" si="13"/>
        <v/>
      </c>
      <c r="S45" s="129">
        <f t="shared" si="7"/>
        <v>0</v>
      </c>
      <c r="T45" s="130">
        <f>IF($C45="",0,VLOOKUP($C45,[6]Hoja1!$C$11:$D$27,2,FALSE)*M45)+IF($D45="",0,VLOOKUP($D45,[6]Hoja1!$C$11:$D$27,2,FALSE)*N45)+IF($F45="",0,VLOOKUP($F45,[6]Hoja1!$C$11:$D$27,2,FALSE)*P45)+IF(R45="",0,R45*0.5)</f>
        <v>0</v>
      </c>
      <c r="U45" s="127" t="str">
        <f t="shared" ref="U45:U51" si="19">IF(G45="x",4,"")</f>
        <v/>
      </c>
      <c r="V45" s="127"/>
      <c r="W45" s="133"/>
      <c r="X45" s="128"/>
      <c r="Y45" s="128">
        <v>10</v>
      </c>
      <c r="Z45" s="128"/>
      <c r="AA45" s="128"/>
      <c r="AB45" s="128"/>
      <c r="AC45" s="128"/>
      <c r="AD45" s="142"/>
      <c r="AE45" s="128"/>
      <c r="AF45" s="128"/>
      <c r="AG45" s="128"/>
      <c r="AH45" s="134">
        <f t="shared" si="9"/>
        <v>10</v>
      </c>
      <c r="AI45" s="143"/>
      <c r="AJ45" s="127"/>
      <c r="AK45" s="127"/>
      <c r="AL45" s="127"/>
      <c r="AM45" s="135"/>
      <c r="AN45" s="136">
        <f t="shared" si="10"/>
        <v>0</v>
      </c>
      <c r="AO45" s="144"/>
      <c r="AP45" s="144"/>
      <c r="AQ45" s="138">
        <f t="shared" si="11"/>
        <v>0</v>
      </c>
      <c r="AR45" s="139">
        <f t="shared" si="14"/>
        <v>10</v>
      </c>
      <c r="AS45" s="412">
        <f t="shared" si="15"/>
        <v>0</v>
      </c>
      <c r="AT45" s="355">
        <v>9.1666666666666661</v>
      </c>
      <c r="AU45" s="356">
        <f t="shared" si="16"/>
        <v>0</v>
      </c>
      <c r="AV45" s="386">
        <f t="shared" si="17"/>
        <v>0</v>
      </c>
      <c r="AW45" s="358">
        <f t="shared" si="18"/>
        <v>0</v>
      </c>
      <c r="AX45" s="356">
        <f t="shared" si="8"/>
        <v>9.1666666666666661</v>
      </c>
      <c r="AY45" s="359">
        <f t="shared" si="5"/>
        <v>0</v>
      </c>
      <c r="AZ45" s="360">
        <f t="shared" si="6"/>
        <v>1</v>
      </c>
      <c r="BA45" s="287">
        <v>480000</v>
      </c>
      <c r="BB45" s="287">
        <v>48000</v>
      </c>
    </row>
    <row r="46" spans="1:54" ht="15.75" thickBot="1" x14ac:dyDescent="0.3">
      <c r="A46" s="121" t="s">
        <v>698</v>
      </c>
      <c r="B46" s="121" t="s">
        <v>699</v>
      </c>
      <c r="C46" s="122" t="s">
        <v>98</v>
      </c>
      <c r="D46" s="123"/>
      <c r="E46" s="123"/>
      <c r="F46" s="123" t="s">
        <v>98</v>
      </c>
      <c r="G46" s="124"/>
      <c r="H46" s="124" t="s">
        <v>609</v>
      </c>
      <c r="I46" s="140"/>
      <c r="J46" s="125"/>
      <c r="K46" s="124"/>
      <c r="L46" s="141">
        <v>54</v>
      </c>
      <c r="M46" s="127">
        <v>18</v>
      </c>
      <c r="N46" s="127"/>
      <c r="O46" s="127"/>
      <c r="P46" s="127">
        <v>2</v>
      </c>
      <c r="Q46" s="128"/>
      <c r="R46" s="23" t="str">
        <f t="shared" si="13"/>
        <v/>
      </c>
      <c r="S46" s="129">
        <f t="shared" si="7"/>
        <v>20</v>
      </c>
      <c r="T46" s="130">
        <f>IF($C46="",0,VLOOKUP($C46,[6]Hoja1!$C$11:$D$27,2,FALSE)*M46)+IF($D46="",0,VLOOKUP($D46,[6]Hoja1!$C$11:$D$27,2,FALSE)*N46)+IF($F46="",0,VLOOKUP($F46,[6]Hoja1!$C$11:$D$27,2,FALSE)*P46)+IF(R46="",0,R46*0.5)</f>
        <v>10</v>
      </c>
      <c r="U46" s="127" t="str">
        <f t="shared" si="19"/>
        <v/>
      </c>
      <c r="V46" s="127"/>
      <c r="W46" s="133">
        <v>1.5</v>
      </c>
      <c r="X46" s="128">
        <v>1</v>
      </c>
      <c r="Y46" s="128"/>
      <c r="Z46" s="128"/>
      <c r="AA46" s="128">
        <v>6</v>
      </c>
      <c r="AB46" s="128">
        <v>1</v>
      </c>
      <c r="AC46" s="128">
        <v>1</v>
      </c>
      <c r="AD46" s="142">
        <v>2</v>
      </c>
      <c r="AE46" s="128"/>
      <c r="AF46" s="128"/>
      <c r="AG46" s="128"/>
      <c r="AH46" s="134">
        <f t="shared" si="9"/>
        <v>22.5</v>
      </c>
      <c r="AI46" s="145"/>
      <c r="AJ46" s="127">
        <v>10</v>
      </c>
      <c r="AK46" s="127"/>
      <c r="AL46" s="127"/>
      <c r="AM46" s="135"/>
      <c r="AN46" s="136">
        <f t="shared" si="10"/>
        <v>10</v>
      </c>
      <c r="AO46" s="144"/>
      <c r="AP46" s="144"/>
      <c r="AQ46" s="138">
        <f t="shared" si="11"/>
        <v>0</v>
      </c>
      <c r="AR46" s="139">
        <f t="shared" si="14"/>
        <v>52.5</v>
      </c>
      <c r="AS46" s="412">
        <f t="shared" si="15"/>
        <v>1.5</v>
      </c>
      <c r="AT46" s="355">
        <v>40.466666666666669</v>
      </c>
      <c r="AU46" s="356">
        <f t="shared" si="16"/>
        <v>14</v>
      </c>
      <c r="AV46" s="386">
        <f t="shared" si="17"/>
        <v>6.666666666666667</v>
      </c>
      <c r="AW46" s="358">
        <f t="shared" si="18"/>
        <v>0</v>
      </c>
      <c r="AX46" s="356">
        <f t="shared" si="8"/>
        <v>19.8</v>
      </c>
      <c r="AY46" s="359">
        <f t="shared" si="5"/>
        <v>0.41420118343195272</v>
      </c>
      <c r="AZ46" s="360">
        <f t="shared" si="6"/>
        <v>0.58579881656804744</v>
      </c>
      <c r="BA46" s="287">
        <v>2549874</v>
      </c>
      <c r="BB46" s="287">
        <v>47219.888888888891</v>
      </c>
    </row>
    <row r="47" spans="1:54" ht="15.75" thickBot="1" x14ac:dyDescent="0.3">
      <c r="A47" s="121" t="s">
        <v>700</v>
      </c>
      <c r="B47" s="121" t="s">
        <v>701</v>
      </c>
      <c r="C47" s="122" t="s">
        <v>109</v>
      </c>
      <c r="D47" s="123"/>
      <c r="E47" s="123"/>
      <c r="F47" s="123"/>
      <c r="G47" s="124"/>
      <c r="H47" s="124"/>
      <c r="I47" s="140"/>
      <c r="J47" s="125"/>
      <c r="K47" s="124"/>
      <c r="L47" s="141">
        <v>29</v>
      </c>
      <c r="M47" s="127">
        <v>18</v>
      </c>
      <c r="N47" s="127"/>
      <c r="O47" s="127"/>
      <c r="P47" s="127"/>
      <c r="Q47" s="128"/>
      <c r="R47" s="23" t="str">
        <f t="shared" si="13"/>
        <v/>
      </c>
      <c r="S47" s="129">
        <f t="shared" si="7"/>
        <v>18</v>
      </c>
      <c r="T47" s="130">
        <f>IF($C47="",0,VLOOKUP($C47,[6]Hoja1!$C$11:$D$27,2,FALSE)*M47)+IF($D47="",0,VLOOKUP($D47,[6]Hoja1!$C$11:$D$27,2,FALSE)*N47)+IF($F47="",0,VLOOKUP($F47,[6]Hoja1!$C$11:$D$27,2,FALSE)*P47)+IF(R47="",0,R47*0.5)</f>
        <v>9</v>
      </c>
      <c r="U47" s="127" t="str">
        <f t="shared" si="19"/>
        <v/>
      </c>
      <c r="V47" s="127"/>
      <c r="W47" s="133"/>
      <c r="X47" s="128"/>
      <c r="Y47" s="128"/>
      <c r="Z47" s="128"/>
      <c r="AA47" s="128"/>
      <c r="AB47" s="128"/>
      <c r="AC47" s="128">
        <v>1</v>
      </c>
      <c r="AD47" s="142"/>
      <c r="AE47" s="128"/>
      <c r="AF47" s="128"/>
      <c r="AG47" s="128"/>
      <c r="AH47" s="134">
        <f t="shared" si="9"/>
        <v>10</v>
      </c>
      <c r="AI47" s="143"/>
      <c r="AJ47" s="127"/>
      <c r="AK47" s="127"/>
      <c r="AL47" s="127"/>
      <c r="AM47" s="135"/>
      <c r="AN47" s="136">
        <f t="shared" si="10"/>
        <v>0</v>
      </c>
      <c r="AO47" s="144"/>
      <c r="AP47" s="144"/>
      <c r="AQ47" s="138">
        <f t="shared" si="11"/>
        <v>0</v>
      </c>
      <c r="AR47" s="139">
        <f t="shared" si="14"/>
        <v>28</v>
      </c>
      <c r="AS47" s="412">
        <f t="shared" si="15"/>
        <v>1</v>
      </c>
      <c r="AT47" s="355">
        <v>31.433333333333334</v>
      </c>
      <c r="AU47" s="356">
        <f t="shared" si="16"/>
        <v>12</v>
      </c>
      <c r="AV47" s="386">
        <f t="shared" si="17"/>
        <v>0</v>
      </c>
      <c r="AW47" s="358">
        <f t="shared" si="18"/>
        <v>0</v>
      </c>
      <c r="AX47" s="356">
        <f t="shared" si="8"/>
        <v>19.433333333333334</v>
      </c>
      <c r="AY47" s="359">
        <f t="shared" si="5"/>
        <v>0.38176033934252385</v>
      </c>
      <c r="AZ47" s="360">
        <f t="shared" si="6"/>
        <v>0.61823966065747615</v>
      </c>
      <c r="BA47" s="287">
        <v>1529915</v>
      </c>
      <c r="BB47" s="287">
        <v>52755.689655172413</v>
      </c>
    </row>
    <row r="48" spans="1:54" ht="15.75" thickBot="1" x14ac:dyDescent="0.3">
      <c r="A48" s="121" t="s">
        <v>702</v>
      </c>
      <c r="B48" s="121" t="s">
        <v>703</v>
      </c>
      <c r="C48" s="122" t="s">
        <v>61</v>
      </c>
      <c r="D48" s="123"/>
      <c r="E48" s="123"/>
      <c r="F48" s="123"/>
      <c r="G48" s="124"/>
      <c r="H48" s="124" t="s">
        <v>609</v>
      </c>
      <c r="I48" s="140"/>
      <c r="J48" s="125"/>
      <c r="K48" s="124"/>
      <c r="L48" s="141">
        <v>54</v>
      </c>
      <c r="M48" s="127">
        <v>25</v>
      </c>
      <c r="N48" s="127"/>
      <c r="O48" s="127"/>
      <c r="P48" s="127"/>
      <c r="Q48" s="128"/>
      <c r="R48" s="23" t="str">
        <f t="shared" si="13"/>
        <v/>
      </c>
      <c r="S48" s="129">
        <f t="shared" si="7"/>
        <v>25</v>
      </c>
      <c r="T48" s="130">
        <f>IF($C48="",0,VLOOKUP($C48,[6]Hoja1!$C$11:$D$27,2,FALSE)*M48)+IF($D48="",0,VLOOKUP($D48,[6]Hoja1!$C$11:$D$27,2,FALSE)*N48)+IF($F48="",0,VLOOKUP($F48,[6]Hoja1!$C$11:$D$27,2,FALSE)*P48)+IF(R48="",0,R48*0.5)</f>
        <v>12.5</v>
      </c>
      <c r="U48" s="127" t="str">
        <f t="shared" si="19"/>
        <v/>
      </c>
      <c r="V48" s="127"/>
      <c r="W48" s="133">
        <v>1.5</v>
      </c>
      <c r="X48" s="128"/>
      <c r="Y48" s="128"/>
      <c r="Z48" s="128"/>
      <c r="AA48" s="128"/>
      <c r="AB48" s="128"/>
      <c r="AC48" s="128">
        <v>1</v>
      </c>
      <c r="AD48" s="142">
        <v>1</v>
      </c>
      <c r="AE48" s="128">
        <v>1</v>
      </c>
      <c r="AF48" s="128"/>
      <c r="AG48" s="128"/>
      <c r="AH48" s="134">
        <f t="shared" si="9"/>
        <v>17</v>
      </c>
      <c r="AI48" s="145"/>
      <c r="AJ48" s="127">
        <v>12</v>
      </c>
      <c r="AK48" s="127"/>
      <c r="AL48" s="127"/>
      <c r="AM48" s="135"/>
      <c r="AN48" s="136">
        <f t="shared" si="10"/>
        <v>12</v>
      </c>
      <c r="AO48" s="144"/>
      <c r="AP48" s="144"/>
      <c r="AQ48" s="138">
        <f t="shared" si="11"/>
        <v>0</v>
      </c>
      <c r="AR48" s="139">
        <f t="shared" si="14"/>
        <v>54</v>
      </c>
      <c r="AS48" s="412">
        <f t="shared" si="15"/>
        <v>0</v>
      </c>
      <c r="AT48" s="355">
        <v>40.466666666666669</v>
      </c>
      <c r="AU48" s="356">
        <f t="shared" si="16"/>
        <v>16.666666666666668</v>
      </c>
      <c r="AV48" s="386">
        <f t="shared" si="17"/>
        <v>8</v>
      </c>
      <c r="AW48" s="358">
        <f t="shared" si="18"/>
        <v>0</v>
      </c>
      <c r="AX48" s="356">
        <f t="shared" si="8"/>
        <v>15.8</v>
      </c>
      <c r="AY48" s="359">
        <f t="shared" si="5"/>
        <v>0.51334702258726905</v>
      </c>
      <c r="AZ48" s="360">
        <f t="shared" si="6"/>
        <v>0.486652977412731</v>
      </c>
      <c r="BA48" s="287">
        <v>2047500</v>
      </c>
      <c r="BB48" s="287">
        <v>37916.666666666664</v>
      </c>
    </row>
    <row r="49" spans="1:54" ht="15.75" thickBot="1" x14ac:dyDescent="0.3">
      <c r="A49" s="121" t="s">
        <v>704</v>
      </c>
      <c r="B49" s="121" t="s">
        <v>705</v>
      </c>
      <c r="C49" s="122" t="s">
        <v>54</v>
      </c>
      <c r="D49" s="123" t="s">
        <v>74</v>
      </c>
      <c r="E49" s="123"/>
      <c r="F49" s="123" t="s">
        <v>54</v>
      </c>
      <c r="G49" s="124"/>
      <c r="H49" s="124"/>
      <c r="I49" s="140"/>
      <c r="J49" s="125"/>
      <c r="K49" s="124"/>
      <c r="L49" s="141">
        <v>54</v>
      </c>
      <c r="M49" s="127">
        <v>11</v>
      </c>
      <c r="N49" s="127">
        <v>6</v>
      </c>
      <c r="O49" s="127"/>
      <c r="P49" s="127">
        <v>4</v>
      </c>
      <c r="Q49" s="128"/>
      <c r="R49" s="23" t="str">
        <f t="shared" si="13"/>
        <v/>
      </c>
      <c r="S49" s="129">
        <f t="shared" si="7"/>
        <v>21</v>
      </c>
      <c r="T49" s="130">
        <f>IF($C49="",0,VLOOKUP($C49,[6]Hoja1!$C$11:$D$27,2,FALSE)*M49)+IF($D49="",0,VLOOKUP($D49,[6]Hoja1!$C$11:$D$27,2,FALSE)*N49)+IF($F49="",0,VLOOKUP($F49,[6]Hoja1!$C$11:$D$27,2,FALSE)*P49)+IF(R49="",0,R49*0.5)</f>
        <v>10.5</v>
      </c>
      <c r="U49" s="127" t="str">
        <f t="shared" si="19"/>
        <v/>
      </c>
      <c r="V49" s="127"/>
      <c r="W49" s="133">
        <v>1.5</v>
      </c>
      <c r="X49" s="128"/>
      <c r="Y49" s="128"/>
      <c r="Z49" s="128"/>
      <c r="AA49" s="128"/>
      <c r="AB49" s="128">
        <v>3</v>
      </c>
      <c r="AC49" s="128"/>
      <c r="AD49" s="142"/>
      <c r="AE49" s="128"/>
      <c r="AF49" s="128"/>
      <c r="AG49" s="128"/>
      <c r="AH49" s="134">
        <f t="shared" si="9"/>
        <v>15</v>
      </c>
      <c r="AI49" s="143"/>
      <c r="AJ49" s="127"/>
      <c r="AK49" s="127"/>
      <c r="AL49" s="127"/>
      <c r="AM49" s="135"/>
      <c r="AN49" s="136">
        <f t="shared" si="10"/>
        <v>0</v>
      </c>
      <c r="AO49" s="144"/>
      <c r="AP49" s="144"/>
      <c r="AQ49" s="138">
        <f t="shared" si="11"/>
        <v>0</v>
      </c>
      <c r="AR49" s="139">
        <f t="shared" si="14"/>
        <v>36</v>
      </c>
      <c r="AS49" s="412">
        <f t="shared" si="15"/>
        <v>18</v>
      </c>
      <c r="AT49" s="355">
        <v>40.466666666666669</v>
      </c>
      <c r="AU49" s="356">
        <f t="shared" si="16"/>
        <v>16</v>
      </c>
      <c r="AV49" s="386">
        <f t="shared" si="17"/>
        <v>0</v>
      </c>
      <c r="AW49" s="358">
        <f t="shared" si="18"/>
        <v>0</v>
      </c>
      <c r="AX49" s="356">
        <f t="shared" si="8"/>
        <v>24.466666666666669</v>
      </c>
      <c r="AY49" s="359">
        <f t="shared" si="5"/>
        <v>0.39538714991762763</v>
      </c>
      <c r="AZ49" s="360">
        <f t="shared" si="6"/>
        <v>0.60461285008237231</v>
      </c>
      <c r="BA49" s="287">
        <v>4477036</v>
      </c>
      <c r="BB49" s="287">
        <v>82908.074074074073</v>
      </c>
    </row>
    <row r="50" spans="1:54" ht="15.75" thickBot="1" x14ac:dyDescent="0.3">
      <c r="A50" s="121" t="s">
        <v>520</v>
      </c>
      <c r="B50" s="121" t="s">
        <v>521</v>
      </c>
      <c r="C50" s="122" t="s">
        <v>99</v>
      </c>
      <c r="D50" s="123"/>
      <c r="E50" s="123"/>
      <c r="F50" s="123"/>
      <c r="G50" s="124"/>
      <c r="H50" s="124"/>
      <c r="I50" s="140"/>
      <c r="J50" s="125"/>
      <c r="K50" s="124"/>
      <c r="L50" s="141">
        <v>9</v>
      </c>
      <c r="M50" s="127">
        <v>6</v>
      </c>
      <c r="N50" s="127"/>
      <c r="O50" s="127"/>
      <c r="P50" s="127"/>
      <c r="Q50" s="128"/>
      <c r="R50" s="23" t="str">
        <f t="shared" si="13"/>
        <v/>
      </c>
      <c r="S50" s="129">
        <f t="shared" si="7"/>
        <v>6</v>
      </c>
      <c r="T50" s="130">
        <f>IF($C50="",0,VLOOKUP($C50,[6]Hoja1!$C$11:$D$27,2,FALSE)*M50)+IF($D50="",0,VLOOKUP($D50,[6]Hoja1!$C$11:$D$27,2,FALSE)*N50)+IF($F50="",0,VLOOKUP($F50,[6]Hoja1!$C$11:$D$27,2,FALSE)*P50)+IF(R50="",0,R50*0.5)</f>
        <v>1.7999999999999998</v>
      </c>
      <c r="U50" s="127" t="str">
        <f t="shared" si="19"/>
        <v/>
      </c>
      <c r="V50" s="127"/>
      <c r="W50" s="133"/>
      <c r="X50" s="128"/>
      <c r="Y50" s="128"/>
      <c r="Z50" s="128"/>
      <c r="AA50" s="128"/>
      <c r="AB50" s="128"/>
      <c r="AC50" s="128"/>
      <c r="AD50" s="142"/>
      <c r="AE50" s="128"/>
      <c r="AF50" s="128"/>
      <c r="AG50" s="128"/>
      <c r="AH50" s="134">
        <f t="shared" si="9"/>
        <v>1.7999999999999998</v>
      </c>
      <c r="AI50" s="143"/>
      <c r="AJ50" s="127"/>
      <c r="AK50" s="127"/>
      <c r="AL50" s="127"/>
      <c r="AM50" s="135"/>
      <c r="AN50" s="136">
        <f t="shared" si="10"/>
        <v>0</v>
      </c>
      <c r="AO50" s="144"/>
      <c r="AP50" s="144"/>
      <c r="AQ50" s="138">
        <f t="shared" si="11"/>
        <v>0</v>
      </c>
      <c r="AR50" s="139">
        <f t="shared" si="14"/>
        <v>7.8</v>
      </c>
      <c r="AS50" s="412">
        <f t="shared" si="15"/>
        <v>1.2000000000000002</v>
      </c>
      <c r="AT50" s="355">
        <v>5.0999999999999996</v>
      </c>
      <c r="AU50" s="356">
        <f t="shared" si="16"/>
        <v>4</v>
      </c>
      <c r="AV50" s="386">
        <f t="shared" si="17"/>
        <v>0</v>
      </c>
      <c r="AW50" s="358">
        <f t="shared" si="18"/>
        <v>0</v>
      </c>
      <c r="AX50" s="356">
        <f t="shared" si="8"/>
        <v>1.0999999999999996</v>
      </c>
      <c r="AY50" s="359">
        <f t="shared" si="5"/>
        <v>0.78431372549019618</v>
      </c>
      <c r="AZ50" s="360">
        <f t="shared" si="6"/>
        <v>0.21568627450980388</v>
      </c>
      <c r="BA50" s="287">
        <v>400295</v>
      </c>
      <c r="BB50" s="287">
        <v>44477.222222222219</v>
      </c>
    </row>
    <row r="51" spans="1:54" ht="15.75" thickBot="1" x14ac:dyDescent="0.3">
      <c r="A51" s="121" t="s">
        <v>706</v>
      </c>
      <c r="B51" s="121" t="s">
        <v>707</v>
      </c>
      <c r="C51" s="122" t="s">
        <v>114</v>
      </c>
      <c r="D51" s="123"/>
      <c r="E51" s="123"/>
      <c r="F51" s="123"/>
      <c r="G51" s="124"/>
      <c r="H51" s="124"/>
      <c r="I51" s="140"/>
      <c r="J51" s="125"/>
      <c r="K51" s="124"/>
      <c r="L51" s="141">
        <v>54</v>
      </c>
      <c r="M51" s="127">
        <v>28</v>
      </c>
      <c r="N51" s="127"/>
      <c r="O51" s="127"/>
      <c r="P51" s="127"/>
      <c r="Q51" s="128">
        <v>4</v>
      </c>
      <c r="R51" s="23" t="str">
        <f t="shared" si="13"/>
        <v/>
      </c>
      <c r="S51" s="129">
        <f t="shared" si="7"/>
        <v>32</v>
      </c>
      <c r="T51" s="130">
        <f>IF($C51="",0,VLOOKUP($C51,[6]Hoja1!$C$11:$D$27,2,FALSE)*M51)+IF($D51="",0,VLOOKUP($D51,[6]Hoja1!$C$11:$D$27,2,FALSE)*N51)+IF($F51="",0,VLOOKUP($F51,[6]Hoja1!$C$11:$D$27,2,FALSE)*P51)+IF(R51="",0,R51*0.5)</f>
        <v>14</v>
      </c>
      <c r="U51" s="127" t="str">
        <f t="shared" si="19"/>
        <v/>
      </c>
      <c r="V51" s="127">
        <v>0</v>
      </c>
      <c r="W51" s="133">
        <v>1.5</v>
      </c>
      <c r="X51" s="128"/>
      <c r="Y51" s="128"/>
      <c r="Z51" s="128"/>
      <c r="AA51" s="128"/>
      <c r="AB51" s="128"/>
      <c r="AC51" s="128">
        <v>1</v>
      </c>
      <c r="AD51" s="142">
        <v>2</v>
      </c>
      <c r="AE51" s="128"/>
      <c r="AF51" s="128"/>
      <c r="AG51" s="128"/>
      <c r="AH51" s="134">
        <f t="shared" si="9"/>
        <v>18.5</v>
      </c>
      <c r="AI51" s="143"/>
      <c r="AJ51" s="127"/>
      <c r="AK51" s="127"/>
      <c r="AL51" s="127"/>
      <c r="AM51" s="135"/>
      <c r="AN51" s="136">
        <f t="shared" si="10"/>
        <v>0</v>
      </c>
      <c r="AO51" s="144"/>
      <c r="AP51" s="144"/>
      <c r="AQ51" s="138">
        <f t="shared" si="11"/>
        <v>0</v>
      </c>
      <c r="AR51" s="139">
        <f t="shared" si="14"/>
        <v>50.5</v>
      </c>
      <c r="AS51" s="412">
        <f t="shared" si="15"/>
        <v>3.5</v>
      </c>
      <c r="AT51" s="355">
        <v>40.450000000000003</v>
      </c>
      <c r="AU51" s="356">
        <f t="shared" si="16"/>
        <v>21.333333333333332</v>
      </c>
      <c r="AV51" s="386">
        <f t="shared" si="17"/>
        <v>0</v>
      </c>
      <c r="AW51" s="358">
        <f t="shared" si="18"/>
        <v>0</v>
      </c>
      <c r="AX51" s="356">
        <f t="shared" si="8"/>
        <v>19.116666666666671</v>
      </c>
      <c r="AY51" s="359">
        <f t="shared" si="5"/>
        <v>0.52740008240626279</v>
      </c>
      <c r="AZ51" s="360">
        <f t="shared" si="6"/>
        <v>0.47259991759373721</v>
      </c>
      <c r="BA51" s="287">
        <v>1600000</v>
      </c>
      <c r="BB51" s="287">
        <v>29629.629629629631</v>
      </c>
    </row>
    <row r="52" spans="1:54" ht="15.75" thickBot="1" x14ac:dyDescent="0.3">
      <c r="A52" s="121" t="s">
        <v>708</v>
      </c>
      <c r="B52" s="121" t="s">
        <v>709</v>
      </c>
      <c r="C52" s="122" t="s">
        <v>55</v>
      </c>
      <c r="D52" s="123"/>
      <c r="E52" s="123"/>
      <c r="F52" s="123"/>
      <c r="G52" s="124" t="s">
        <v>609</v>
      </c>
      <c r="H52" s="124"/>
      <c r="I52" s="140"/>
      <c r="J52" s="125"/>
      <c r="K52" s="124"/>
      <c r="L52" s="141">
        <v>54</v>
      </c>
      <c r="M52" s="127">
        <v>18</v>
      </c>
      <c r="N52" s="127"/>
      <c r="O52" s="127"/>
      <c r="P52" s="127"/>
      <c r="Q52" s="128"/>
      <c r="R52" s="23">
        <f t="shared" si="13"/>
        <v>1</v>
      </c>
      <c r="S52" s="129">
        <f t="shared" si="7"/>
        <v>19</v>
      </c>
      <c r="T52" s="130">
        <f>IF($C52="",0,VLOOKUP($C52,[6]Hoja1!$C$11:$D$27,2,FALSE)*M52)+IF($D52="",0,VLOOKUP($D52,[6]Hoja1!$C$11:$D$27,2,FALSE)*N52)+IF($F52="",0,VLOOKUP($F52,[6]Hoja1!$C$11:$D$27,2,FALSE)*P52)+IF(R52="",0,R52*0.5)</f>
        <v>11.299999999999999</v>
      </c>
      <c r="U52" s="131">
        <f>IF(G52="x",8,"")</f>
        <v>8</v>
      </c>
      <c r="V52" s="131">
        <v>8</v>
      </c>
      <c r="W52" s="133">
        <v>1.5</v>
      </c>
      <c r="X52" s="128"/>
      <c r="Y52" s="128"/>
      <c r="Z52" s="128"/>
      <c r="AA52" s="128"/>
      <c r="AB52" s="128">
        <v>5</v>
      </c>
      <c r="AC52" s="128">
        <v>1</v>
      </c>
      <c r="AD52" s="142">
        <v>2</v>
      </c>
      <c r="AE52" s="128"/>
      <c r="AF52" s="128"/>
      <c r="AG52" s="128"/>
      <c r="AH52" s="134">
        <f t="shared" si="9"/>
        <v>36.799999999999997</v>
      </c>
      <c r="AI52" s="143"/>
      <c r="AJ52" s="127"/>
      <c r="AK52" s="127"/>
      <c r="AL52" s="127"/>
      <c r="AM52" s="135"/>
      <c r="AN52" s="136">
        <f t="shared" si="10"/>
        <v>0</v>
      </c>
      <c r="AO52" s="144"/>
      <c r="AP52" s="144"/>
      <c r="AQ52" s="138">
        <f t="shared" si="11"/>
        <v>0</v>
      </c>
      <c r="AR52" s="139">
        <f t="shared" si="14"/>
        <v>55.8</v>
      </c>
      <c r="AS52" s="412">
        <f t="shared" si="15"/>
        <v>-1.7999999999999972</v>
      </c>
      <c r="AT52" s="355">
        <v>40.4</v>
      </c>
      <c r="AU52" s="356">
        <f t="shared" si="16"/>
        <v>16</v>
      </c>
      <c r="AV52" s="386">
        <f t="shared" si="17"/>
        <v>0</v>
      </c>
      <c r="AW52" s="358">
        <f t="shared" si="18"/>
        <v>0</v>
      </c>
      <c r="AX52" s="356">
        <f t="shared" si="8"/>
        <v>24.4</v>
      </c>
      <c r="AY52" s="359">
        <f t="shared" si="5"/>
        <v>0.39603960396039606</v>
      </c>
      <c r="AZ52" s="360">
        <f t="shared" si="6"/>
        <v>0.60396039603960394</v>
      </c>
      <c r="BA52" s="287">
        <v>3252330</v>
      </c>
      <c r="BB52" s="287">
        <v>60228.333333333336</v>
      </c>
    </row>
    <row r="53" spans="1:54" ht="15.75" thickBot="1" x14ac:dyDescent="0.3">
      <c r="A53" s="121" t="s">
        <v>710</v>
      </c>
      <c r="B53" s="121" t="s">
        <v>711</v>
      </c>
      <c r="C53" s="122" t="s">
        <v>55</v>
      </c>
      <c r="D53" s="123"/>
      <c r="E53" s="123"/>
      <c r="F53" s="123"/>
      <c r="G53" s="124" t="s">
        <v>609</v>
      </c>
      <c r="H53" s="124"/>
      <c r="I53" s="140"/>
      <c r="J53" s="125"/>
      <c r="K53" s="124"/>
      <c r="L53" s="141">
        <v>54</v>
      </c>
      <c r="M53" s="127">
        <v>18</v>
      </c>
      <c r="N53" s="127"/>
      <c r="O53" s="127"/>
      <c r="P53" s="127"/>
      <c r="Q53" s="128"/>
      <c r="R53" s="23">
        <f t="shared" si="13"/>
        <v>1</v>
      </c>
      <c r="S53" s="129">
        <f t="shared" si="7"/>
        <v>19</v>
      </c>
      <c r="T53" s="130">
        <f>IF($C53="",0,VLOOKUP($C53,[6]Hoja1!$C$11:$D$27,2,FALSE)*M53)+IF($D53="",0,VLOOKUP($D53,[6]Hoja1!$C$11:$D$27,2,FALSE)*N53)+IF($F53="",0,VLOOKUP($F53,[6]Hoja1!$C$11:$D$27,2,FALSE)*P53)+IF(R53="",0,R53*0.5)</f>
        <v>11.299999999999999</v>
      </c>
      <c r="U53" s="131">
        <f>IF(G53="x",6,"")</f>
        <v>6</v>
      </c>
      <c r="V53" s="131">
        <v>6</v>
      </c>
      <c r="W53" s="133">
        <v>1.5</v>
      </c>
      <c r="X53" s="128"/>
      <c r="Y53" s="128"/>
      <c r="Z53" s="128"/>
      <c r="AA53" s="128"/>
      <c r="AB53" s="128">
        <v>5</v>
      </c>
      <c r="AC53" s="128">
        <v>1</v>
      </c>
      <c r="AD53" s="142"/>
      <c r="AE53" s="128"/>
      <c r="AF53" s="128"/>
      <c r="AG53" s="128"/>
      <c r="AH53" s="134">
        <f t="shared" si="9"/>
        <v>30.799999999999997</v>
      </c>
      <c r="AI53" s="143"/>
      <c r="AJ53" s="127"/>
      <c r="AK53" s="127"/>
      <c r="AL53" s="127"/>
      <c r="AM53" s="135"/>
      <c r="AN53" s="136">
        <f t="shared" si="10"/>
        <v>0</v>
      </c>
      <c r="AO53" s="144"/>
      <c r="AP53" s="144"/>
      <c r="AQ53" s="138">
        <f t="shared" si="11"/>
        <v>0</v>
      </c>
      <c r="AR53" s="139">
        <f t="shared" si="14"/>
        <v>49.8</v>
      </c>
      <c r="AS53" s="412">
        <f t="shared" si="15"/>
        <v>4.2000000000000028</v>
      </c>
      <c r="AT53" s="362">
        <v>40.383333333333333</v>
      </c>
      <c r="AU53" s="363">
        <f t="shared" si="16"/>
        <v>16</v>
      </c>
      <c r="AV53" s="383">
        <f t="shared" si="17"/>
        <v>0</v>
      </c>
      <c r="AW53" s="365">
        <f t="shared" si="18"/>
        <v>0</v>
      </c>
      <c r="AX53" s="363">
        <f t="shared" si="8"/>
        <v>24.383333333333333</v>
      </c>
      <c r="AY53" s="366">
        <f t="shared" si="5"/>
        <v>0.39620305406520845</v>
      </c>
      <c r="AZ53" s="367">
        <f t="shared" si="6"/>
        <v>0.60379694593479161</v>
      </c>
      <c r="BA53" s="287">
        <v>2066572</v>
      </c>
      <c r="BB53" s="287">
        <v>38269.851851851854</v>
      </c>
    </row>
    <row r="54" spans="1:54" x14ac:dyDescent="0.25">
      <c r="L54" s="303">
        <f>SUM(L4:L53)</f>
        <v>2242</v>
      </c>
      <c r="M54" s="287">
        <f t="shared" ref="M54" si="20">SUM(M4:M53)</f>
        <v>735</v>
      </c>
      <c r="N54" s="287">
        <f t="shared" ref="N54" si="21">SUM(N4:N53)</f>
        <v>24</v>
      </c>
      <c r="O54" s="287">
        <f t="shared" ref="O54" si="22">SUM(O4:O53)</f>
        <v>0</v>
      </c>
      <c r="P54" s="287">
        <f t="shared" ref="P54" si="23">SUM(P4:P53)</f>
        <v>45</v>
      </c>
      <c r="Q54" s="287">
        <f t="shared" ref="Q54" si="24">SUM(Q4:Q53)</f>
        <v>98</v>
      </c>
      <c r="R54" s="287">
        <f t="shared" ref="R54" si="25">SUM(R4:R53)</f>
        <v>21</v>
      </c>
      <c r="S54" s="303">
        <f>SUM(S4:S53)</f>
        <v>923</v>
      </c>
      <c r="T54" s="287">
        <f t="shared" ref="T54:AH54" si="26">SUM(T4:T53)</f>
        <v>386.90000000000003</v>
      </c>
      <c r="U54" s="287">
        <f t="shared" si="26"/>
        <v>114</v>
      </c>
      <c r="V54" s="287">
        <f t="shared" si="26"/>
        <v>65</v>
      </c>
      <c r="W54" s="287">
        <f t="shared" si="26"/>
        <v>61.5</v>
      </c>
      <c r="X54" s="287">
        <f t="shared" si="26"/>
        <v>10</v>
      </c>
      <c r="Y54" s="287">
        <f t="shared" si="26"/>
        <v>68</v>
      </c>
      <c r="Z54" s="287">
        <f t="shared" si="26"/>
        <v>0</v>
      </c>
      <c r="AA54" s="287">
        <f t="shared" si="26"/>
        <v>6</v>
      </c>
      <c r="AB54" s="287">
        <f t="shared" si="26"/>
        <v>70</v>
      </c>
      <c r="AC54" s="287">
        <f t="shared" si="26"/>
        <v>30</v>
      </c>
      <c r="AD54" s="287">
        <f t="shared" si="26"/>
        <v>68</v>
      </c>
      <c r="AE54" s="287">
        <f t="shared" si="26"/>
        <v>18</v>
      </c>
      <c r="AF54" s="287">
        <f t="shared" si="26"/>
        <v>5</v>
      </c>
      <c r="AG54" s="287">
        <f t="shared" si="26"/>
        <v>0</v>
      </c>
      <c r="AH54" s="303">
        <f t="shared" si="26"/>
        <v>902.39999999999986</v>
      </c>
      <c r="AI54" s="287">
        <f t="shared" ref="AI54:AN54" si="27">SUM(AI4:AI53)</f>
        <v>145</v>
      </c>
      <c r="AJ54" s="287">
        <f t="shared" si="27"/>
        <v>41</v>
      </c>
      <c r="AK54" s="287">
        <f t="shared" si="27"/>
        <v>0</v>
      </c>
      <c r="AL54" s="287">
        <f t="shared" si="27"/>
        <v>0</v>
      </c>
      <c r="AM54" s="287">
        <f t="shared" si="27"/>
        <v>0</v>
      </c>
      <c r="AN54" s="303">
        <f t="shared" si="27"/>
        <v>186</v>
      </c>
      <c r="AO54" s="287">
        <f t="shared" ref="AO54:AQ54" si="28">SUM(AO4:AO53)</f>
        <v>0</v>
      </c>
      <c r="AP54" s="287">
        <f t="shared" si="28"/>
        <v>0</v>
      </c>
      <c r="AQ54" s="303">
        <f t="shared" si="28"/>
        <v>0</v>
      </c>
      <c r="AR54" s="287">
        <f t="shared" ref="AR54:AX54" si="29">SUM(AR4:AR53)</f>
        <v>2011.3999999999999</v>
      </c>
      <c r="AS54" s="303">
        <f t="shared" si="29"/>
        <v>230.59999999999997</v>
      </c>
      <c r="AT54" s="298">
        <f t="shared" si="29"/>
        <v>1691.4000000000008</v>
      </c>
      <c r="AU54" s="298">
        <f t="shared" si="29"/>
        <v>662</v>
      </c>
      <c r="AV54" s="298">
        <f t="shared" si="29"/>
        <v>124</v>
      </c>
      <c r="AW54" s="298">
        <f t="shared" si="29"/>
        <v>0</v>
      </c>
      <c r="AX54" s="298">
        <f t="shared" si="29"/>
        <v>905.39999999999986</v>
      </c>
      <c r="AY54" s="304">
        <f>AVERAGE(AY4:AY53)</f>
        <v>0.41983866846767276</v>
      </c>
      <c r="AZ54" s="304">
        <f>AVERAGE(AZ4:AZ53)</f>
        <v>0.5801613315323273</v>
      </c>
      <c r="BA54" s="287">
        <f>SUM(BA4:BA53)</f>
        <v>100033883</v>
      </c>
      <c r="BB54" s="287">
        <f>AVERAGE(BB4:BB53)</f>
        <v>44882.646328527451</v>
      </c>
    </row>
  </sheetData>
  <autoFilter ref="A3:AS54"/>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'C:\Users\Constanza Nieto\Documents\Seduc\MODELO HNL y Asigna\2025\Distribución Horas\Recibido\[Distribución de Horas Huinganal 2025 (2).xlsx]Hoja1'!#REF!</xm:f>
          </x14:formula1>
          <xm:sqref>C4:F53 J4:K53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CLA</vt:lpstr>
      <vt:lpstr>Tabancura</vt:lpstr>
      <vt:lpstr>Huelén</vt:lpstr>
      <vt:lpstr>Cordillera</vt:lpstr>
      <vt:lpstr>Los Alerces</vt:lpstr>
      <vt:lpstr>Huinganal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2025-09-29T18:36:35Z</dcterms:modified>
</cp:coreProperties>
</file>